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  <sheet name="Zon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€"/>
    <numFmt numFmtId="165" formatCode="0,0%"/>
    <numFmt numFmtId="166" formatCode="#,##0.0"/>
    <numFmt numFmtId="167" formatCode="0.0%"/>
    <numFmt numFmtId="168" formatCode="dd/mm/yyyy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4" fontId="0" fillId="3" borderId="0" pivotButton="0" quotePrefix="0" xfId="0"/>
    <xf numFmtId="167" fontId="0" fillId="3" borderId="0" pivotButton="0" quotePrefix="0" xfId="0"/>
    <xf numFmtId="2" fontId="0" fillId="3" borderId="0" pivotButton="0" quotePrefix="0" xfId="0"/>
    <xf numFmtId="168" fontId="0" fillId="3" borderId="0" pivotButton="0" quotePrefix="0" xfId="0"/>
    <xf numFmtId="1" fontId="0" fillId="3" borderId="0" pivotButton="0" quotePrefix="0" xfId="0"/>
    <xf numFmtId="168" fontId="0" fillId="0" borderId="0" pivotButton="0" quotePrefix="0" xfId="0"/>
    <xf numFmtId="3" fontId="0" fillId="3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Con la misma semilla, las mismas celdas y las mismas distribuciones, los números</t>
        </is>
      </c>
    </row>
    <row r="45">
      <c r="A45" t="inlineStr">
        <is>
          <t>salen idénticos en cualquier equipo y aunque vuelvas a marcar las celdas. Si</t>
        </is>
      </c>
    </row>
    <row r="46">
      <c r="A46" t="inlineStr">
        <is>
          <t>cambias una distribución o el orden de muestreo, cambian: es otro experimento.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64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10" customWidth="1" min="5" max="5"/>
    <col width="10" customWidth="1" min="6" max="6"/>
    <col width="14" customWidth="1" min="8" max="8"/>
    <col width="50" customWidth="1" min="9" max="9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(pruebas F1–F6)</t>
        </is>
      </c>
      <c r="K4" s="2" t="inlineStr">
        <is>
          <t>5. PRECIOS HISTÓRICOS (prueba E)</t>
        </is>
      </c>
    </row>
    <row r="5">
      <c r="B5" t="inlineStr">
        <is>
          <t>Demanda</t>
        </is>
      </c>
      <c r="C5" s="15" t="n"/>
      <c r="D5" s="4" t="inlineStr">
        <is>
          <t>escribe =RIESGO.NORMAL(1000;150)</t>
        </is>
      </c>
      <c r="K5" s="16" t="n">
        <v>134.47</v>
      </c>
    </row>
    <row r="6">
      <c r="B6" t="inlineStr">
        <is>
          <t>Precio</t>
        </is>
      </c>
      <c r="C6" s="15" t="n"/>
      <c r="D6" s="4" t="inlineStr">
        <is>
          <t>escribe =RIESGO.TRIANGULAR(8;10;14)</t>
        </is>
      </c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G1)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H11" s="8" t="inlineStr">
        <is>
          <t>Derrame — escribe en H13: =FILTRAR(E13:E17;F13:F17&gt;C12)</t>
        </is>
      </c>
      <c r="K11" s="16" t="n">
        <v>124.26</v>
      </c>
    </row>
    <row r="12">
      <c r="B12" s="2" t="inlineStr">
        <is>
          <t>3. MATRICES (pruebas G2–G4)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K12" s="16" t="n">
        <v>119.52</v>
      </c>
    </row>
    <row r="13">
      <c r="B13" t="inlineStr">
        <is>
          <t>Ventas por encima del umbral</t>
        </is>
      </c>
      <c r="C13" s="15" t="n"/>
      <c r="E13" t="inlineStr">
        <is>
          <t>Norte</t>
        </is>
      </c>
      <c r="F13" s="17">
        <f>120*$C$5/1000</f>
        <v/>
      </c>
      <c r="H13" s="15" t="n"/>
      <c r="I13" s="4" t="inlineStr">
        <is>
          <t>escribe =SUMA(FILTRAR(F13:F17;F13:F17&gt;C12;0))</t>
        </is>
      </c>
      <c r="K13" s="16" t="n">
        <v>140.21</v>
      </c>
    </row>
    <row r="14">
      <c r="B14" t="inlineStr">
        <is>
          <t>Ventas por encima del umbral (SUMAPRODUCTO)</t>
        </is>
      </c>
      <c r="C14" s="15" t="n"/>
      <c r="E14" t="inlineStr">
        <is>
          <t>Sur</t>
        </is>
      </c>
      <c r="F14" s="17">
        <f>80*$C$5/1000</f>
        <v/>
      </c>
      <c r="I14" s="4" t="inlineStr">
        <is>
          <t>escribe =SUMAPRODUCTO((F13:F17&gt;C12)*F13:F17)</t>
        </is>
      </c>
      <c r="K14" s="16" t="n">
        <v>130</v>
      </c>
    </row>
    <row r="15">
      <c r="B15" t="inlineStr">
        <is>
          <t>La mayor venta</t>
        </is>
      </c>
      <c r="C15" s="15" t="n"/>
      <c r="E15" t="inlineStr">
        <is>
          <t>Este</t>
        </is>
      </c>
      <c r="F15" s="17">
        <f>150*$C$5/1000</f>
        <v/>
      </c>
      <c r="I15" s="4" t="inlineStr">
        <is>
          <t>escribe =INDICE(ORDENAR(F13:F17;1;-1);1)</t>
        </is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B24" s="2" t="inlineStr">
        <is>
          <t>6. FUNCIONES NUEVAS (pruebas F7–F10)</t>
        </is>
      </c>
      <c r="E24" s="8" t="inlineStr">
        <is>
          <t>Plazo</t>
        </is>
      </c>
      <c r="F24" s="8" t="inlineStr">
        <is>
          <t>Peso</t>
        </is>
      </c>
      <c r="K24" s="16" t="n">
        <v>135.13</v>
      </c>
    </row>
    <row r="25">
      <c r="B25" t="inlineStr">
        <is>
          <t>Plazo de entrega (días)</t>
        </is>
      </c>
      <c r="C25" s="15" t="n"/>
      <c r="E25" t="n">
        <v>3</v>
      </c>
      <c r="F25" s="18" t="n">
        <v>0.5</v>
      </c>
      <c r="I25" s="4" t="inlineStr">
        <is>
          <t>escribe =RIESGO.DISCRETA(E25:E27;F25:F27)</t>
        </is>
      </c>
      <c r="K25" s="16" t="n">
        <v>107.99</v>
      </c>
    </row>
    <row r="26">
      <c r="B26" t="inlineStr">
        <is>
          <t>Demanda acotada</t>
        </is>
      </c>
      <c r="C26" s="15" t="n"/>
      <c r="E26" t="n">
        <v>5</v>
      </c>
      <c r="F26" s="18" t="n">
        <v>0.3</v>
      </c>
      <c r="I26" s="4" t="inlineStr">
        <is>
          <t>escribe =RIESGO.TRUNCAR(RIESGO.NORMAL(100;30);50;150)</t>
        </is>
      </c>
      <c r="K26" s="16" t="n">
        <v>128.92</v>
      </c>
    </row>
    <row r="27">
      <c r="B27" t="inlineStr">
        <is>
          <t>Precio lognormal</t>
        </is>
      </c>
      <c r="C27" s="15" t="n"/>
      <c r="E27" t="n">
        <v>10</v>
      </c>
      <c r="F27" s="18" t="n">
        <v>0.2</v>
      </c>
      <c r="I27" s="4" t="inlineStr">
        <is>
          <t>escribe =RIESGO.LOGNORMAL2(4,6;0,2)</t>
        </is>
      </c>
      <c r="K27" s="16" t="n">
        <v>117.6</v>
      </c>
    </row>
    <row r="28">
      <c r="B28" t="inlineStr">
        <is>
          <t>Precio según el histórico</t>
        </is>
      </c>
      <c r="C28" s="15" t="n"/>
      <c r="I28" s="4" t="inlineStr">
        <is>
          <t>escribe =RIESGO.EMPIRICA(K5:K44)</t>
        </is>
      </c>
      <c r="K28" s="16" t="n">
        <v>114.05</v>
      </c>
    </row>
    <row r="29">
      <c r="B29" t="inlineStr">
        <is>
          <t>Suma de control</t>
        </is>
      </c>
      <c r="C29" s="16">
        <f>C25+C26+C27+C28</f>
        <v/>
      </c>
      <c r="K29" s="16" t="n">
        <v>104.62</v>
      </c>
    </row>
    <row r="30">
      <c r="K30" s="16" t="n">
        <v>102.97</v>
      </c>
    </row>
    <row r="31">
      <c r="B31" s="2" t="inlineStr">
        <is>
          <t>7. RIESGO CON CELDAS (pruebas F12–F15)</t>
        </is>
      </c>
      <c r="K31" s="16" t="n">
        <v>114.72</v>
      </c>
    </row>
    <row r="32">
      <c r="B32" t="inlineStr">
        <is>
          <t>Media de la demanda</t>
        </is>
      </c>
      <c r="C32" t="n">
        <v>1000</v>
      </c>
      <c r="K32" s="16" t="n">
        <v>92.87</v>
      </c>
    </row>
    <row r="33">
      <c r="B33" t="inlineStr">
        <is>
          <t>Desviación de la demanda</t>
        </is>
      </c>
      <c r="C33" t="n">
        <v>150</v>
      </c>
      <c r="K33" s="16" t="n">
        <v>90.79000000000001</v>
      </c>
    </row>
    <row r="34">
      <c r="B34" t="inlineStr">
        <is>
          <t>Demanda con celdas</t>
        </is>
      </c>
      <c r="C34" s="15" t="n"/>
      <c r="I34" s="4" t="inlineStr">
        <is>
          <t>escribe =RIESGO.NORMAL(C32;C33)</t>
        </is>
      </c>
      <c r="K34" s="16" t="n">
        <v>105.47</v>
      </c>
    </row>
    <row r="35">
      <c r="B35" t="inlineStr">
        <is>
          <t>Precio con imprevisto</t>
        </is>
      </c>
      <c r="C35" s="15" t="n"/>
      <c r="I35" s="4" t="inlineStr">
        <is>
          <t>escribe =10+RIESGO.NORMAL(0;1)</t>
        </is>
      </c>
      <c r="K35" s="16" t="n">
        <v>115.54</v>
      </c>
    </row>
    <row r="36">
      <c r="B36" t="inlineStr">
        <is>
          <t>Demanda del mes siguiente</t>
        </is>
      </c>
      <c r="C36" s="15" t="n"/>
      <c r="I36" s="4" t="inlineStr">
        <is>
          <t>escribe =RIESGO.NORMAL(C34;50)</t>
        </is>
      </c>
      <c r="K36" s="16" t="n">
        <v>105.38</v>
      </c>
    </row>
    <row r="37">
      <c r="B37" t="inlineStr">
        <is>
          <t>Ingresos con celdas</t>
        </is>
      </c>
      <c r="C37" s="16">
        <f>C36*C35</f>
        <v/>
      </c>
      <c r="K37" s="16" t="n">
        <v>138.82</v>
      </c>
    </row>
    <row r="38">
      <c r="K38" s="16" t="n">
        <v>131.28</v>
      </c>
    </row>
    <row r="39">
      <c r="B39" s="2" t="inlineStr">
        <is>
          <t>8. RESULTADOS EN LA HOJA (pruebas F16–F19)</t>
        </is>
      </c>
      <c r="K39" s="16" t="n">
        <v>95.36</v>
      </c>
    </row>
    <row r="40">
      <c r="B40" t="inlineStr">
        <is>
          <t>Media de los ingresos</t>
        </is>
      </c>
      <c r="C40" s="19" t="n"/>
      <c r="I40" s="4" t="inlineStr">
        <is>
          <t>escribe =RIESGO.MEDIA(C37)</t>
        </is>
      </c>
      <c r="K40" s="16" t="n">
        <v>120.34</v>
      </c>
    </row>
    <row r="41">
      <c r="B41" t="inlineStr">
        <is>
          <t>p5 de los ingresos</t>
        </is>
      </c>
      <c r="C41" s="19" t="n"/>
      <c r="I41" s="4" t="inlineStr">
        <is>
          <t>escribe =RIESGO.PERCENTIL(C37;0,05)</t>
        </is>
      </c>
      <c r="K41" s="16" t="n">
        <v>131.99</v>
      </c>
    </row>
    <row r="42">
      <c r="B42" t="inlineStr">
        <is>
          <t>Probabilidad de ingresos &lt; 8.000</t>
        </is>
      </c>
      <c r="C42" s="20" t="n"/>
      <c r="I42" s="4" t="inlineStr">
        <is>
          <t>escribe =RIESGO.PROB(C37;8000)</t>
        </is>
      </c>
      <c r="K42" s="16" t="n">
        <v>108.7</v>
      </c>
    </row>
    <row r="43">
      <c r="B43" t="inlineStr">
        <is>
          <t>Desviación de los ingresos</t>
        </is>
      </c>
      <c r="C43" s="19" t="n"/>
      <c r="I43" s="4" t="inlineStr">
        <is>
          <t>escribe =RIESGO.DESV(C37)</t>
        </is>
      </c>
      <c r="K43" s="16" t="n">
        <v>113.68</v>
      </c>
    </row>
    <row r="44">
      <c r="K44" s="16" t="n">
        <v>121.08</v>
      </c>
    </row>
    <row r="45">
      <c r="B45" s="2" t="inlineStr">
        <is>
          <t>9. SALIDA Y CORRELACIÓN CON FUNCIONES (pruebas F20–F21)</t>
        </is>
      </c>
    </row>
    <row r="46">
      <c r="B46" t="inlineStr">
        <is>
          <t>Coste de materiales</t>
        </is>
      </c>
      <c r="C46" s="19" t="n"/>
      <c r="I46" s="4" t="inlineStr">
        <is>
          <t>escribe =RIESGO.NORMAL(100;10)</t>
        </is>
      </c>
    </row>
    <row r="47">
      <c r="B47" t="inlineStr">
        <is>
          <t>Coste de transporte</t>
        </is>
      </c>
      <c r="C47" s="19" t="n"/>
      <c r="I47" s="4" t="inlineStr">
        <is>
          <t>escribe =RIESGO.NORMAL(50;5)</t>
        </is>
      </c>
    </row>
    <row r="48">
      <c r="B48" t="inlineStr">
        <is>
          <t>Correlación materiales-transporte</t>
        </is>
      </c>
      <c r="C48" s="21" t="n"/>
      <c r="I48" s="4" t="inlineStr">
        <is>
          <t>escribe =RIESGO.CORRELACION(C46;C47;0,9)</t>
        </is>
      </c>
    </row>
    <row r="49">
      <c r="B49" t="inlineStr">
        <is>
          <t>Coste total</t>
        </is>
      </c>
      <c r="C49" s="19" t="n"/>
      <c r="I49" s="4" t="inlineStr">
        <is>
          <t>escribe =RIESGO.SALIDA("Coste total")+C46+C47</t>
        </is>
      </c>
    </row>
    <row r="51">
      <c r="B51" s="2" t="inlineStr">
        <is>
          <t>10. FECHAS (prueba T9)</t>
        </is>
      </c>
    </row>
    <row r="52">
      <c r="B52" t="inlineStr">
        <is>
          <t>Inicio de obra</t>
        </is>
      </c>
      <c r="C52" s="22" t="n"/>
      <c r="I52" s="4" t="inlineStr">
        <is>
          <t>escribe =RIESGO.TRIANGULAR(FECHA(2027;1;1);FECHA(2027;2;1);FECHA(2027;4;1))</t>
        </is>
      </c>
    </row>
    <row r="53">
      <c r="B53" t="inlineStr">
        <is>
          <t>Duración (días)</t>
        </is>
      </c>
      <c r="C53" s="23" t="n"/>
      <c r="I53" s="4" t="inlineStr">
        <is>
          <t>escribe =RIESGO.NORMAL(90;10)</t>
        </is>
      </c>
    </row>
    <row r="54">
      <c r="B54" t="inlineStr">
        <is>
          <t>Fin de obra</t>
        </is>
      </c>
      <c r="C54" s="24">
        <f>C52+C53</f>
        <v/>
      </c>
    </row>
    <row r="56">
      <c r="B56" s="2" t="inlineStr">
        <is>
          <t>11. REGISTRO DE RIESGOS (prueba T10)</t>
        </is>
      </c>
    </row>
    <row r="57">
      <c r="B57" t="inlineStr">
        <is>
          <t>Retraso de permisos</t>
        </is>
      </c>
      <c r="C57" s="25" t="n"/>
      <c r="I57" s="4" t="inlineStr">
        <is>
          <t>escribe =RIESGO.EVENTO(0,3;RIESGO.TRIANGULAR(10000;20000;60000))</t>
        </is>
      </c>
    </row>
    <row r="58">
      <c r="B58" t="inlineStr">
        <is>
          <t>Avería grave</t>
        </is>
      </c>
      <c r="C58" s="25" t="n"/>
      <c r="I58" s="4" t="inlineStr">
        <is>
          <t>escribe =RIESGO.EVENTO(0,1;50000)</t>
        </is>
      </c>
    </row>
    <row r="59">
      <c r="B59" t="inlineStr">
        <is>
          <t>Coste de los riesgos</t>
        </is>
      </c>
      <c r="C59" s="10">
        <f>C57+C58</f>
        <v/>
      </c>
    </row>
    <row r="61">
      <c r="B61" s="2" t="inlineStr">
        <is>
          <t>12. DECISIONES (prueba T11)</t>
        </is>
      </c>
    </row>
    <row r="62">
      <c r="B62" t="inlineStr">
        <is>
          <t>Demanda</t>
        </is>
      </c>
      <c r="C62" s="15" t="n"/>
      <c r="I62" s="4" t="inlineStr">
        <is>
          <t>escribe =RIESGO.NORMAL(1000;100)</t>
        </is>
      </c>
    </row>
    <row r="63">
      <c r="B63" t="inlineStr">
        <is>
          <t>Precio (decisión)</t>
        </is>
      </c>
      <c r="C63" s="15" t="n"/>
      <c r="I63" s="4" t="inlineStr">
        <is>
          <t>escribe =RIESGO.DECISION(8;10;12)</t>
        </is>
      </c>
    </row>
    <row r="64">
      <c r="B64" t="inlineStr">
        <is>
          <t>Ingresos según el precio</t>
        </is>
      </c>
      <c r="C64" s="10">
        <f>C62*C63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0" customWidth="1" min="5" max="5"/>
    <col width="12" customWidth="1" min="6" max="6"/>
    <col width="10" customWidth="1" min="7" max="7"/>
    <col width="44" customWidth="1" min="9" max="9"/>
  </cols>
  <sheetData>
    <row r="2">
      <c r="B2" s="1" t="inlineStr">
        <is>
          <t>Variables de texto — zona de venta</t>
        </is>
      </c>
    </row>
    <row r="3">
      <c r="B3" s="4" t="inlineStr">
        <is>
          <t>La zona es un texto con su probabilidad. El recargo depende de la zona; la gama y el «¿supera?» son salidas de texto y de sí/no.</t>
        </is>
      </c>
    </row>
    <row r="4">
      <c r="B4" t="inlineStr">
        <is>
          <t>Zona de venta</t>
        </is>
      </c>
      <c r="C4" t="inlineStr">
        <is>
          <t>Norte</t>
        </is>
      </c>
      <c r="E4" s="8" t="inlineStr">
        <is>
          <t>Zona</t>
        </is>
      </c>
      <c r="F4" s="8" t="inlineStr">
        <is>
          <t>Probabilidad</t>
        </is>
      </c>
      <c r="G4" s="8" t="inlineStr">
        <is>
          <t>Recargo</t>
        </is>
      </c>
      <c r="I4" s="4" t="inlineStr">
        <is>
          <t>marca como entrada: el panel la propone como texto</t>
        </is>
      </c>
    </row>
    <row r="5">
      <c r="B5" t="inlineStr">
        <is>
          <t>Recargo por zona</t>
        </is>
      </c>
      <c r="C5" s="26">
        <f>VLOOKUP(C4,$E$5:$G$7,3,FALSE)</f>
        <v/>
      </c>
      <c r="E5" t="inlineStr">
        <is>
          <t>Norte</t>
        </is>
      </c>
      <c r="F5" s="18" t="n">
        <v>0.2</v>
      </c>
      <c r="G5" s="26" t="n">
        <v>1.1</v>
      </c>
    </row>
    <row r="6">
      <c r="B6" t="inlineStr">
        <is>
          <t>Precio base</t>
        </is>
      </c>
      <c r="C6" s="11" t="n">
        <v>100</v>
      </c>
      <c r="E6" t="inlineStr">
        <is>
          <t>Sur</t>
        </is>
      </c>
      <c r="F6" s="18" t="n">
        <v>0.5</v>
      </c>
      <c r="G6" s="26" t="n">
        <v>1</v>
      </c>
      <c r="I6" s="4" t="inlineStr">
        <is>
          <t>marca como entrada</t>
        </is>
      </c>
    </row>
    <row r="7">
      <c r="B7" t="inlineStr">
        <is>
          <t>Unidades</t>
        </is>
      </c>
      <c r="C7" s="10" t="n">
        <v>1000</v>
      </c>
      <c r="E7" t="inlineStr">
        <is>
          <t>Este</t>
        </is>
      </c>
      <c r="F7" s="18" t="n">
        <v>0.3</v>
      </c>
      <c r="G7" s="26" t="n">
        <v>0.9</v>
      </c>
      <c r="I7" s="4" t="inlineStr">
        <is>
          <t>marca como entrada</t>
        </is>
      </c>
    </row>
    <row r="8">
      <c r="B8" t="inlineStr">
        <is>
          <t>Ingresos</t>
        </is>
      </c>
      <c r="C8" s="11">
        <f>C6*C5*C7</f>
        <v/>
      </c>
      <c r="I8" s="4" t="inlineStr">
        <is>
          <t>salida numérica</t>
        </is>
      </c>
    </row>
    <row r="9">
      <c r="B9" t="inlineStr">
        <is>
          <t>Gama</t>
        </is>
      </c>
      <c r="C9">
        <f>IF(C8&gt;110000,"Alta",IF(C8&gt;90000,"Media","Baja"))</f>
        <v/>
      </c>
      <c r="I9" s="4" t="inlineStr">
        <is>
          <t>salida de texto</t>
        </is>
      </c>
    </row>
    <row r="10">
      <c r="B10" t="inlineStr">
        <is>
          <t>¿Supera 100.000 €?</t>
        </is>
      </c>
      <c r="C10">
        <f>C8&gt;100000</f>
        <v/>
      </c>
      <c r="I10" s="4" t="inlineStr">
        <is>
          <t>salida de sí/no</t>
        </is>
      </c>
    </row>
    <row r="12">
      <c r="B12" t="inlineStr">
        <is>
          <t>Zona con función</t>
        </is>
      </c>
      <c r="C12" s="15" t="n"/>
      <c r="I12" s="4" t="inlineStr">
        <is>
          <t>escribe =RIESGO.CATEGORIA(E5:E7;F5:F7)</t>
        </is>
      </c>
    </row>
    <row r="13">
      <c r="B13" t="inlineStr">
        <is>
          <t>Ingresos con la zona de la función</t>
        </is>
      </c>
      <c r="C13" s="11">
        <f>C6*VLOOKUP(C12,$E$5:$G$7,3,FALSE)*C7</f>
        <v/>
      </c>
      <c r="I13" s="4" t="inlineStr">
        <is>
          <t>salida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2026-09-29T12:18:12Z</dcterms:created>
  <dcterms:modified xsi:type="dcterms:W3CDTF">2026-09-29T12:18:12Z</dcterms:modified>
</cp:coreProperties>
</file>