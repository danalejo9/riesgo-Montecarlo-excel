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odelo" sheetId="2" state="visible" r:id="rId2"/>
    <sheet name="Pruebas" sheetId="3" state="visible" r:id="rId3"/>
    <sheet name="Zon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€"/>
    <numFmt numFmtId="165" formatCode="0,0%"/>
    <numFmt numFmtId="166" formatCode="#,##0.0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b val="1"/>
      <color rgb="00FFFFFF"/>
    </font>
    <font>
      <i val="1"/>
      <color rgb="00666666"/>
    </font>
    <font>
      <color rgb="001F4E79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4" fontId="6" fillId="0" borderId="1" pivotButton="0" quotePrefix="0" xfId="0"/>
    <xf numFmtId="164" fontId="6" fillId="0" borderId="0" pivotButton="0" quotePrefix="0" xfId="0"/>
    <xf numFmtId="165" fontId="6" fillId="0" borderId="0" pivotButton="0" quotePrefix="0" xfId="0"/>
    <xf numFmtId="0" fontId="0" fillId="3" borderId="0" pivotButton="0" quotePrefix="0" xfId="0"/>
    <xf numFmtId="4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4" fontId="0" fillId="3" borderId="0" pivotButton="0" quotePrefix="0" xfId="0"/>
    <xf numFmtId="167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6" customWidth="1" min="3" max="3"/>
    <col width="46" customWidth="1" min="4" max="4"/>
  </cols>
  <sheetData>
    <row r="1">
      <c r="A1" s="1" t="inlineStr">
        <is>
          <t>Libro de demostración — Riesgo Monte Carlo</t>
        </is>
      </c>
    </row>
    <row r="3">
      <c r="A3" t="inlineStr">
        <is>
          <t>Este libro sirve para probar el complemento sobre un modelo que las dos partes</t>
        </is>
      </c>
    </row>
    <row r="4">
      <c r="A4" t="inlineStr">
        <is>
          <t>conocemos. Todo está en la hoja «Modelo». No hay nada que rellenar: solo marcar</t>
        </is>
      </c>
    </row>
    <row r="5">
      <c r="A5" t="inlineStr">
        <is>
          <t>celdas en el panel y pulsar Simular.</t>
        </is>
      </c>
    </row>
    <row r="7">
      <c r="A7" s="2" t="inlineStr">
        <is>
          <t>1. Marca estas celdas como ENTRADA</t>
        </is>
      </c>
    </row>
    <row r="8">
      <c r="A8" t="inlineStr">
        <is>
          <t>Selecciona la celda en la hoja «Modelo» y pulsa «Añadir la selección como entrada».</t>
        </is>
      </c>
    </row>
    <row r="9">
      <c r="A9" t="inlineStr">
        <is>
          <t>El panel propone una triangular alrededor del valor que ya tiene la celda; la</t>
        </is>
      </c>
    </row>
    <row r="10">
      <c r="A10" t="inlineStr">
        <is>
          <t>columna «distribución sugerida» dice con qué sustituirla.</t>
        </is>
      </c>
    </row>
    <row r="12">
      <c r="A12" s="3" t="inlineStr">
        <is>
          <t>Celda</t>
        </is>
      </c>
      <c r="B12" s="3" t="inlineStr">
        <is>
          <t>Qué es</t>
        </is>
      </c>
      <c r="C12" s="3" t="inlineStr">
        <is>
          <t>Valor</t>
        </is>
      </c>
      <c r="D12" s="3" t="inlineStr">
        <is>
          <t>Distribución sugerida</t>
        </is>
      </c>
    </row>
    <row r="13">
      <c r="A13" t="inlineStr">
        <is>
          <t>Modelo!C5</t>
        </is>
      </c>
      <c r="B13" t="inlineStr">
        <is>
          <t>Precio unitario</t>
        </is>
      </c>
      <c r="C13" t="inlineStr">
        <is>
          <t>120 €</t>
        </is>
      </c>
      <c r="D13" t="inlineStr">
        <is>
          <t>Triangular  min 105  moda 120  max 140</t>
        </is>
      </c>
    </row>
    <row r="14">
      <c r="A14" t="inlineStr">
        <is>
          <t>Modelo!C6</t>
        </is>
      </c>
      <c r="B14" t="inlineStr">
        <is>
          <t>Unidades vendidas el año 1</t>
        </is>
      </c>
      <c r="C14" t="inlineStr">
        <is>
          <t>20.000</t>
        </is>
      </c>
      <c r="D14" t="inlineStr">
        <is>
          <t>Triangular  min 16.000  moda 20.000  max 23.000</t>
        </is>
      </c>
    </row>
    <row r="15">
      <c r="A15" t="inlineStr">
        <is>
          <t>Modelo!C7</t>
        </is>
      </c>
      <c r="B15" t="inlineStr">
        <is>
          <t>Crecimiento anual de unidades</t>
        </is>
      </c>
      <c r="C15" t="inlineStr">
        <is>
          <t>6 %</t>
        </is>
      </c>
      <c r="D15" t="inlineStr">
        <is>
          <t>Normal  media 0,06  desviación 0,03</t>
        </is>
      </c>
    </row>
    <row r="16">
      <c r="A16" t="inlineStr">
        <is>
          <t>Modelo!C8</t>
        </is>
      </c>
      <c r="B16" t="inlineStr">
        <is>
          <t>Coste variable unitario</t>
        </is>
      </c>
      <c r="C16" t="inlineStr">
        <is>
          <t>72 €</t>
        </is>
      </c>
      <c r="D16" t="inlineStr">
        <is>
          <t>Triangular  min 66  moda 72  max 84</t>
        </is>
      </c>
    </row>
    <row r="17">
      <c r="A17" t="inlineStr">
        <is>
          <t>Modelo!C9</t>
        </is>
      </c>
      <c r="B17" t="inlineStr">
        <is>
          <t>Costes fijos anuales</t>
        </is>
      </c>
      <c r="C17" t="inlineStr">
        <is>
          <t>480.000 €</t>
        </is>
      </c>
      <c r="D17" t="inlineStr">
        <is>
          <t>Triangular  min 455.000  moda 480.000  max 530.000</t>
        </is>
      </c>
    </row>
    <row r="19">
      <c r="A19" s="2" t="inlineStr">
        <is>
          <t>2. Marca estas celdas como SALIDA</t>
        </is>
      </c>
    </row>
    <row r="20">
      <c r="A20" t="inlineStr">
        <is>
          <t>Con «Añadir la selección como salida». Son lo que se quiere medir.</t>
        </is>
      </c>
    </row>
    <row r="22">
      <c r="A22" s="3" t="inlineStr">
        <is>
          <t>Celda</t>
        </is>
      </c>
      <c r="B22" s="3" t="inlineStr">
        <is>
          <t>Qué es</t>
        </is>
      </c>
      <c r="C22" s="3" t="inlineStr">
        <is>
          <t>Valor con los supuestos base</t>
        </is>
      </c>
      <c r="D22" s="3" t="inlineStr"/>
    </row>
    <row r="23">
      <c r="A23" t="inlineStr">
        <is>
          <t>Modelo!C32</t>
        </is>
      </c>
      <c r="B23" t="inlineStr">
        <is>
          <t>VAN al 11 %</t>
        </is>
      </c>
      <c r="C23" t="inlineStr">
        <is>
          <t>366.372 €</t>
        </is>
      </c>
      <c r="D23" t="inlineStr"/>
    </row>
    <row r="24">
      <c r="A24" t="inlineStr">
        <is>
          <t>Modelo!C33</t>
        </is>
      </c>
      <c r="B24" t="inlineStr">
        <is>
          <t>TIR del proyecto</t>
        </is>
      </c>
      <c r="C24" t="inlineStr">
        <is>
          <t>22,1 %</t>
        </is>
      </c>
      <c r="D24" t="inlineStr"/>
    </row>
    <row r="25">
      <c r="A25" t="inlineStr">
        <is>
          <t>Modelo!C34</t>
        </is>
      </c>
      <c r="B25" t="inlineStr">
        <is>
          <t>Flujo de caja acumulado a 5 años</t>
        </is>
      </c>
      <c r="C25" t="inlineStr">
        <is>
          <t>942.185 €</t>
        </is>
      </c>
      <c r="D25" t="inlineStr"/>
    </row>
    <row r="27">
      <c r="A27" t="inlineStr">
        <is>
          <t>Si tu Excel no da esos tres números al abrir el libro, avísame antes de seguir:</t>
        </is>
      </c>
    </row>
    <row r="28">
      <c r="A28" t="inlineStr">
        <is>
          <t>significa que el modelo no se está calculando igual, y todo lo demás sobraría.</t>
        </is>
      </c>
    </row>
    <row r="30">
      <c r="A30" s="2" t="inlineStr">
        <is>
          <t>3. Simula</t>
        </is>
      </c>
    </row>
    <row r="31">
      <c r="A31" t="inlineStr">
        <is>
          <t>Deja 10.000 iteraciones y el motor en «Automático». Debería tardar menos de un</t>
        </is>
      </c>
    </row>
    <row r="32">
      <c r="A32" t="inlineStr">
        <is>
          <t>segundo y decir «Rápido (en memoria)»: este libro no usa ninguna función que el</t>
        </is>
      </c>
    </row>
    <row r="33">
      <c r="A33" t="inlineStr">
        <is>
          <t>motor no conozca.</t>
        </is>
      </c>
    </row>
    <row r="35">
      <c r="A35" s="2" t="inlineStr">
        <is>
          <t>Qué deberías ver</t>
        </is>
      </c>
    </row>
    <row r="36">
      <c r="A36" t="inlineStr">
        <is>
          <t>Con las distribuciones de arriba, el proyecto base es bueno pero no seguro:</t>
        </is>
      </c>
    </row>
    <row r="37">
      <c r="A37" t="inlineStr">
        <is>
          <t>· VAN: mediana en torno a +255.000 €, con un p5 cerca de -660.000 € y un p95</t>
        </is>
      </c>
    </row>
    <row r="38">
      <c r="A38" t="inlineStr">
        <is>
          <t xml:space="preserve">  cerca de +1.180.000 €. Aproximadamente un 30 % de probabilidad de VAN negativo.</t>
        </is>
      </c>
    </row>
    <row r="39">
      <c r="A39" t="inlineStr">
        <is>
          <t>· TIR: media en torno al 17 %, frente al 11 % de la tasa de descuento.</t>
        </is>
      </c>
    </row>
    <row r="40">
      <c r="A40" t="inlineStr">
        <is>
          <t>· Un puñado de iteraciones (unas 3 de cada 1.000) saldrán SIN TIR: son escenarios</t>
        </is>
      </c>
    </row>
    <row r="41">
      <c r="A41" t="inlineStr">
        <is>
          <t xml:space="preserve">  tan malos que el flujo nunca llega a cambiar de signo, y entonces la TIR no</t>
        </is>
      </c>
    </row>
    <row r="42">
      <c r="A42" t="inlineStr">
        <is>
          <t xml:space="preserve">  existe. El panel tiene que decírtelo con un número, no dar «sin datos».</t>
        </is>
      </c>
    </row>
    <row r="44">
      <c r="A44" t="inlineStr">
        <is>
          <t>Con la misma semilla, las mismas celdas y las mismas distribuciones, los números</t>
        </is>
      </c>
    </row>
    <row r="45">
      <c r="A45" t="inlineStr">
        <is>
          <t>salen idénticos en cualquier equipo y aunque vuelvas a marcar las celdas. Si</t>
        </is>
      </c>
    </row>
    <row r="46">
      <c r="A46" t="inlineStr">
        <is>
          <t>cambias una distribución o el orden de muestreo, cambian: es otro experimento.</t>
        </is>
      </c>
    </row>
    <row r="48">
      <c r="A48" s="2" t="inlineStr">
        <is>
          <t>Qué mirar en los resultados</t>
        </is>
      </c>
    </row>
    <row r="49">
      <c r="A49" t="inlineStr">
        <is>
          <t>· La probabilidad de que el VAN salga negativo. En la curva, la altura donde</t>
        </is>
      </c>
    </row>
    <row r="50">
      <c r="A50" t="inlineStr">
        <is>
          <t xml:space="preserve">  cruza el cero: ese porcentaje es el riesgo de que el proyecto destruya valor.</t>
        </is>
      </c>
    </row>
    <row r="51">
      <c r="A51" t="inlineStr">
        <is>
          <t>· El p5 del VAN: el mal escenario razonable, no el peor imaginable.</t>
        </is>
      </c>
    </row>
    <row r="52">
      <c r="A52" t="inlineStr">
        <is>
          <t>· La TIR media frente al 11 % de la tasa de descuento.</t>
        </is>
      </c>
    </row>
    <row r="54">
      <c r="A54" s="2" t="inlineStr">
        <is>
          <t>Después, para forzar la máquina</t>
        </is>
      </c>
    </row>
    <row r="55">
      <c r="A55" t="inlineStr">
        <is>
          <t>· Sube a 1.000.000 de iteraciones y compara el tiempo.</t>
        </is>
      </c>
    </row>
    <row r="56">
      <c r="A56" t="inlineStr">
        <is>
          <t>· Cambia el motor a «Compatible (Excel en el bucle)» y baja a 1.000 iteraciones.</t>
        </is>
      </c>
    </row>
    <row r="57">
      <c r="A57" t="inlineStr">
        <is>
          <t xml:space="preserve">  Ese modo mete a Excel dentro del bucle: es lentísimo a propósito, y lo que</t>
        </is>
      </c>
    </row>
    <row r="58">
      <c r="A58" t="inlineStr">
        <is>
          <t xml:space="preserve">  interesa medir es cuántas iteraciones por segundo da tu máquina.</t>
        </is>
      </c>
    </row>
    <row r="59">
      <c r="A59" t="inlineStr">
        <is>
          <t>· Marca también C10 (tasa de descuento) como entrada y mira cuánto se ensancha</t>
        </is>
      </c>
    </row>
    <row r="60">
      <c r="A60" t="inlineStr">
        <is>
          <t xml:space="preserve">  la distribución del VAN.</t>
        </is>
      </c>
    </row>
    <row r="62">
      <c r="A62" s="2" t="inlineStr">
        <is>
          <t>El resaltado</t>
        </is>
      </c>
    </row>
    <row r="63">
      <c r="A63" t="inlineStr">
        <is>
          <t>Al marcar una celda se pinta en la hoja: las entradas en amarillo y las salidas</t>
        </is>
      </c>
    </row>
    <row r="64">
      <c r="A64" t="inlineStr">
        <is>
          <t>en verde, el convenio de siempre en modelización financiera. Con «Quitar el</t>
        </is>
      </c>
    </row>
    <row r="65">
      <c r="A65" t="inlineStr">
        <is>
          <t>resaltado» cada celda vuelve al relleno que tenía antes, incluido «sin relleno»,</t>
        </is>
      </c>
    </row>
    <row r="66">
      <c r="A66" t="inlineStr">
        <is>
          <t>que no es lo mismo que blanco.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Proyecto Aurora — evaluación a cinco años</t>
        </is>
      </c>
    </row>
    <row r="3">
      <c r="B3" s="4" t="inlineStr">
        <is>
          <t>Empresa ficticia. Los supuestos en azul son los que conviene tratar como inciertos.</t>
        </is>
      </c>
    </row>
    <row r="4">
      <c r="B4" s="2" t="inlineStr">
        <is>
          <t>SUPUESTOS</t>
        </is>
      </c>
    </row>
    <row r="5">
      <c r="B5" t="inlineStr">
        <is>
          <t>Precio unitario</t>
        </is>
      </c>
      <c r="C5" s="5" t="n">
        <v>120</v>
      </c>
    </row>
    <row r="6">
      <c r="B6" t="inlineStr">
        <is>
          <t>Unidades vendidas el año 1</t>
        </is>
      </c>
      <c r="C6" s="6" t="n">
        <v>20000</v>
      </c>
    </row>
    <row r="7">
      <c r="B7" t="inlineStr">
        <is>
          <t>Crecimiento anual de unidades</t>
        </is>
      </c>
      <c r="C7" s="7" t="n">
        <v>0.06</v>
      </c>
    </row>
    <row r="8">
      <c r="B8" t="inlineStr">
        <is>
          <t>Coste variable unitario</t>
        </is>
      </c>
      <c r="C8" s="5" t="n">
        <v>72</v>
      </c>
    </row>
    <row r="9">
      <c r="B9" t="inlineStr">
        <is>
          <t>Costes fijos anuales</t>
        </is>
      </c>
      <c r="C9" s="5" t="n">
        <v>480000</v>
      </c>
    </row>
    <row r="10">
      <c r="B10" t="inlineStr">
        <is>
          <t>Tasa de descuento</t>
        </is>
      </c>
      <c r="C10" s="7" t="n">
        <v>0.11</v>
      </c>
    </row>
    <row r="11">
      <c r="B11" t="inlineStr">
        <is>
          <t>Inflación de costes</t>
        </is>
      </c>
      <c r="C11" s="7" t="n">
        <v>0.03</v>
      </c>
    </row>
    <row r="12">
      <c r="B12" t="inlineStr">
        <is>
          <t>Inversión inicial</t>
        </is>
      </c>
      <c r="C12" s="5" t="n">
        <v>1200000</v>
      </c>
    </row>
    <row r="13">
      <c r="B13" t="inlineStr">
        <is>
          <t>Tipo impositivo</t>
        </is>
      </c>
      <c r="C13" s="7" t="n">
        <v>0.3</v>
      </c>
    </row>
    <row r="14">
      <c r="B14" t="inlineStr">
        <is>
          <t>Valor residual en el año 5</t>
        </is>
      </c>
      <c r="C14" s="5" t="n">
        <v>150000</v>
      </c>
    </row>
    <row r="17">
      <c r="B17" s="2" t="inlineStr">
        <is>
          <t>FLUJO DE CAJA</t>
        </is>
      </c>
    </row>
    <row r="18">
      <c r="B18" s="8" t="inlineStr">
        <is>
          <t>Año</t>
        </is>
      </c>
      <c r="C18" s="9" t="n">
        <v>0</v>
      </c>
      <c r="D18" s="9" t="n">
        <v>1</v>
      </c>
      <c r="E18" s="9" t="n">
        <v>2</v>
      </c>
      <c r="F18" s="9" t="n">
        <v>3</v>
      </c>
      <c r="G18" s="9" t="n">
        <v>4</v>
      </c>
      <c r="H18" s="9" t="n">
        <v>5</v>
      </c>
    </row>
    <row r="19">
      <c r="B19" t="inlineStr">
        <is>
          <t>Unidades vendidas</t>
        </is>
      </c>
      <c r="C19" s="10" t="n"/>
      <c r="D19" s="10">
        <f>$C$6</f>
        <v/>
      </c>
      <c r="E19" s="10">
        <f>D19*(1+$C$7)</f>
        <v/>
      </c>
      <c r="F19" s="10">
        <f>E19*(1+$C$7)</f>
        <v/>
      </c>
      <c r="G19" s="10">
        <f>F19*(1+$C$7)</f>
        <v/>
      </c>
      <c r="H19" s="10">
        <f>G19*(1+$C$7)</f>
        <v/>
      </c>
    </row>
    <row r="20">
      <c r="B20" t="inlineStr">
        <is>
          <t>Ingresos</t>
        </is>
      </c>
      <c r="C20" s="11" t="n"/>
      <c r="D20" s="11">
        <f>D19*$C$5</f>
        <v/>
      </c>
      <c r="E20" s="11">
        <f>E19*$C$5</f>
        <v/>
      </c>
      <c r="F20" s="11">
        <f>F19*$C$5</f>
        <v/>
      </c>
      <c r="G20" s="11">
        <f>G19*$C$5</f>
        <v/>
      </c>
      <c r="H20" s="11">
        <f>H19*$C$5</f>
        <v/>
      </c>
    </row>
    <row r="21">
      <c r="B21" t="inlineStr">
        <is>
          <t>Coste variable</t>
        </is>
      </c>
      <c r="C21" s="11" t="n"/>
      <c r="D21" s="11">
        <f>D19*$C$8*(1+$C$11)^0</f>
        <v/>
      </c>
      <c r="E21" s="11">
        <f>E19*$C$8*(1+$C$11)^1</f>
        <v/>
      </c>
      <c r="F21" s="11">
        <f>F19*$C$8*(1+$C$11)^2</f>
        <v/>
      </c>
      <c r="G21" s="11">
        <f>G19*$C$8*(1+$C$11)^3</f>
        <v/>
      </c>
      <c r="H21" s="11">
        <f>H19*$C$8*(1+$C$11)^4</f>
        <v/>
      </c>
    </row>
    <row r="22">
      <c r="B22" t="inlineStr">
        <is>
          <t>Costes fijos</t>
        </is>
      </c>
      <c r="C22" s="11" t="n"/>
      <c r="D22" s="11">
        <f>$C$9*(1+$C$11)^0</f>
        <v/>
      </c>
      <c r="E22" s="11">
        <f>$C$9*(1+$C$11)^1</f>
        <v/>
      </c>
      <c r="F22" s="11">
        <f>$C$9*(1+$C$11)^2</f>
        <v/>
      </c>
      <c r="G22" s="11">
        <f>$C$9*(1+$C$11)^3</f>
        <v/>
      </c>
      <c r="H22" s="11">
        <f>$C$9*(1+$C$11)^4</f>
        <v/>
      </c>
    </row>
    <row r="23">
      <c r="B23" t="inlineStr">
        <is>
          <t>EBITDA</t>
        </is>
      </c>
      <c r="C23" s="11" t="n"/>
      <c r="D23" s="11">
        <f>D20-D21-D22</f>
        <v/>
      </c>
      <c r="E23" s="11">
        <f>E20-E21-E22</f>
        <v/>
      </c>
      <c r="F23" s="11">
        <f>F20-F21-F22</f>
        <v/>
      </c>
      <c r="G23" s="11">
        <f>G20-G21-G22</f>
        <v/>
      </c>
      <c r="H23" s="11">
        <f>H20-H21-H22</f>
        <v/>
      </c>
    </row>
    <row r="24">
      <c r="B24" t="inlineStr">
        <is>
          <t>Amortización</t>
        </is>
      </c>
      <c r="C24" s="11" t="n"/>
      <c r="D24" s="11">
        <f>$C$12/5</f>
        <v/>
      </c>
      <c r="E24" s="11">
        <f>$C$12/5</f>
        <v/>
      </c>
      <c r="F24" s="11">
        <f>$C$12/5</f>
        <v/>
      </c>
      <c r="G24" s="11">
        <f>$C$12/5</f>
        <v/>
      </c>
      <c r="H24" s="11">
        <f>$C$12/5</f>
        <v/>
      </c>
    </row>
    <row r="25">
      <c r="B25" t="inlineStr">
        <is>
          <t>Beneficio antes de impuestos</t>
        </is>
      </c>
      <c r="C25" s="11" t="n"/>
      <c r="D25" s="11">
        <f>D23-D24</f>
        <v/>
      </c>
      <c r="E25" s="11">
        <f>E23-E24</f>
        <v/>
      </c>
      <c r="F25" s="11">
        <f>F23-F24</f>
        <v/>
      </c>
      <c r="G25" s="11">
        <f>G23-G24</f>
        <v/>
      </c>
      <c r="H25" s="11">
        <f>H23-H24</f>
        <v/>
      </c>
    </row>
    <row r="26">
      <c r="B26" t="inlineStr">
        <is>
          <t>Impuestos</t>
        </is>
      </c>
      <c r="C26" s="11" t="n"/>
      <c r="D26" s="11">
        <f>MAX(0,D25*$C$13)</f>
        <v/>
      </c>
      <c r="E26" s="11">
        <f>MAX(0,E25*$C$13)</f>
        <v/>
      </c>
      <c r="F26" s="11">
        <f>MAX(0,F25*$C$13)</f>
        <v/>
      </c>
      <c r="G26" s="11">
        <f>MAX(0,G25*$C$13)</f>
        <v/>
      </c>
      <c r="H26" s="11">
        <f>MAX(0,H25*$C$13)</f>
        <v/>
      </c>
    </row>
    <row r="27">
      <c r="B27" t="inlineStr">
        <is>
          <t>Beneficio neto</t>
        </is>
      </c>
      <c r="C27" s="11" t="n"/>
      <c r="D27" s="11">
        <f>D25-D26</f>
        <v/>
      </c>
      <c r="E27" s="11">
        <f>E25-E26</f>
        <v/>
      </c>
      <c r="F27" s="11">
        <f>F25-F26</f>
        <v/>
      </c>
      <c r="G27" s="11">
        <f>G25-G26</f>
        <v/>
      </c>
      <c r="H27" s="11">
        <f>H25-H26</f>
        <v/>
      </c>
    </row>
    <row r="28">
      <c r="B28" t="inlineStr">
        <is>
          <t>Flujo de caja libre</t>
        </is>
      </c>
      <c r="C28" s="12">
        <f>-$C$12</f>
        <v/>
      </c>
      <c r="D28" s="12">
        <f>D27+D24</f>
        <v/>
      </c>
      <c r="E28" s="12">
        <f>E27+E24</f>
        <v/>
      </c>
      <c r="F28" s="12">
        <f>F27+F24</f>
        <v/>
      </c>
      <c r="G28" s="12">
        <f>G27+G24</f>
        <v/>
      </c>
      <c r="H28" s="12">
        <f>H27+H24+$C$14</f>
        <v/>
      </c>
    </row>
    <row r="29">
      <c r="B29" t="inlineStr">
        <is>
          <t>Flujo acumulado</t>
        </is>
      </c>
      <c r="C29" s="13">
        <f>C28</f>
        <v/>
      </c>
      <c r="D29" s="13">
        <f>C29+D28</f>
        <v/>
      </c>
      <c r="E29" s="13">
        <f>D29+E28</f>
        <v/>
      </c>
      <c r="F29" s="13">
        <f>E29+F28</f>
        <v/>
      </c>
      <c r="G29" s="13">
        <f>F29+G28</f>
        <v/>
      </c>
      <c r="H29" s="13">
        <f>G29+H28</f>
        <v/>
      </c>
    </row>
    <row r="31">
      <c r="B31" s="2" t="inlineStr">
        <is>
          <t>RESULTADOS</t>
        </is>
      </c>
    </row>
    <row r="32">
      <c r="B32" s="8" t="inlineStr">
        <is>
          <t>VAN al 11 %</t>
        </is>
      </c>
      <c r="C32" s="13">
        <f>NPV($C$10,D28:H28)+C28</f>
        <v/>
      </c>
    </row>
    <row r="33">
      <c r="B33" s="8" t="inlineStr">
        <is>
          <t>TIR del proyecto</t>
        </is>
      </c>
      <c r="C33" s="14">
        <f>IRR(C28:H28)</f>
        <v/>
      </c>
    </row>
    <row r="34">
      <c r="B34" s="8" t="inlineStr">
        <is>
          <t>Flujo de caja acumulado a 5 años</t>
        </is>
      </c>
      <c r="C34" s="13">
        <f>H29</f>
        <v/>
      </c>
    </row>
    <row r="35">
      <c r="B35" s="8" t="inlineStr">
        <is>
          <t>Margen EBITDA del año 5</t>
        </is>
      </c>
      <c r="C35" s="14">
        <f>H23/H20</f>
        <v/>
      </c>
    </row>
    <row r="37">
      <c r="B37" s="4" t="inlineStr">
        <is>
          <t>Las celdas a marcar están en la hoja «Instrucciones».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2" customWidth="1" min="4" max="4"/>
    <col width="10" customWidth="1" min="5" max="5"/>
    <col width="10" customWidth="1" min="6" max="6"/>
    <col width="14" customWidth="1" min="8" max="8"/>
    <col width="50" customWidth="1" min="9" max="9"/>
    <col width="12" customWidth="1" min="11" max="11"/>
  </cols>
  <sheetData>
    <row r="2">
      <c r="B2" s="1" t="inlineStr">
        <is>
          <t>Hoja de pruebas — funciones nuevas</t>
        </is>
      </c>
    </row>
    <row r="3">
      <c r="B3" s="4" t="inlineStr">
        <is>
          <t>Las celdas en amarillo claro están vacías a propósito: escribe en ellas la fórmula que indica la guía.</t>
        </is>
      </c>
    </row>
    <row r="4">
      <c r="B4" s="2" t="inlineStr">
        <is>
          <t>1. FUNCIONES RIESGO (pruebas F1–F6)</t>
        </is>
      </c>
      <c r="K4" s="2" t="inlineStr">
        <is>
          <t>5. PRECIOS HISTÓRICOS (prueba E)</t>
        </is>
      </c>
    </row>
    <row r="5">
      <c r="B5" t="inlineStr">
        <is>
          <t>Demanda</t>
        </is>
      </c>
      <c r="C5" s="15" t="n"/>
      <c r="D5" s="4" t="inlineStr">
        <is>
          <t>escribe =RIESGO.NORMAL(1000;150)</t>
        </is>
      </c>
      <c r="K5" s="16" t="n">
        <v>134.47</v>
      </c>
    </row>
    <row r="6">
      <c r="B6" t="inlineStr">
        <is>
          <t>Precio</t>
        </is>
      </c>
      <c r="C6" s="15" t="n"/>
      <c r="D6" s="4" t="inlineStr">
        <is>
          <t>escribe =RIESGO.TRIANGULAR(8;10;14)</t>
        </is>
      </c>
      <c r="K6" s="16" t="n">
        <v>122.61</v>
      </c>
    </row>
    <row r="7">
      <c r="B7" t="inlineStr">
        <is>
          <t>Ingresos = Demanda × Precio</t>
        </is>
      </c>
      <c r="C7" s="16">
        <f>C5*C6</f>
        <v/>
      </c>
      <c r="K7" s="16" t="n">
        <v>165.8</v>
      </c>
    </row>
    <row r="8">
      <c r="K8" s="16" t="n">
        <v>109.42</v>
      </c>
    </row>
    <row r="9">
      <c r="B9" s="2" t="inlineStr">
        <is>
          <t>2. LET (prueba G1)</t>
        </is>
      </c>
      <c r="K9" s="16" t="n">
        <v>119.27</v>
      </c>
    </row>
    <row r="10">
      <c r="B10" t="inlineStr">
        <is>
          <t>Margen = ingresos − coste (60 %), con LET</t>
        </is>
      </c>
      <c r="C10" s="16">
        <f>_xlfn.LET(_xlpm.coste,C7*0.6,C7-_xlpm.coste)</f>
        <v/>
      </c>
      <c r="K10" s="16" t="n">
        <v>125.32</v>
      </c>
    </row>
    <row r="11">
      <c r="H11" s="8" t="inlineStr">
        <is>
          <t>Derrame — escribe en H13: =FILTRAR(E13:E17;F13:F17&gt;C12)</t>
        </is>
      </c>
      <c r="K11" s="16" t="n">
        <v>124.26</v>
      </c>
    </row>
    <row r="12">
      <c r="B12" s="2" t="inlineStr">
        <is>
          <t>3. MATRICES (pruebas G2–G4) — umbral de ventas:</t>
        </is>
      </c>
      <c r="C12" t="n">
        <v>100</v>
      </c>
      <c r="E12" s="8" t="inlineStr">
        <is>
          <t>Zona</t>
        </is>
      </c>
      <c r="F12" s="8" t="inlineStr">
        <is>
          <t>Ventas</t>
        </is>
      </c>
      <c r="K12" s="16" t="n">
        <v>119.52</v>
      </c>
    </row>
    <row r="13">
      <c r="B13" t="inlineStr">
        <is>
          <t>Ventas por encima del umbral</t>
        </is>
      </c>
      <c r="C13" s="15" t="n"/>
      <c r="E13" t="inlineStr">
        <is>
          <t>Norte</t>
        </is>
      </c>
      <c r="F13" s="17">
        <f>120*$C$5/1000</f>
        <v/>
      </c>
      <c r="H13" s="15" t="n"/>
      <c r="I13" s="4" t="inlineStr">
        <is>
          <t>escribe =SUMA(FILTRAR(F13:F17;F13:F17&gt;C12;0))</t>
        </is>
      </c>
      <c r="K13" s="16" t="n">
        <v>140.21</v>
      </c>
    </row>
    <row r="14">
      <c r="B14" t="inlineStr">
        <is>
          <t>Ventas por encima del umbral (SUMAPRODUCTO)</t>
        </is>
      </c>
      <c r="C14" s="15" t="n"/>
      <c r="E14" t="inlineStr">
        <is>
          <t>Sur</t>
        </is>
      </c>
      <c r="F14" s="17">
        <f>80*$C$5/1000</f>
        <v/>
      </c>
      <c r="I14" s="4" t="inlineStr">
        <is>
          <t>escribe =SUMAPRODUCTO((F13:F17&gt;C12)*F13:F17)</t>
        </is>
      </c>
      <c r="K14" s="16" t="n">
        <v>130</v>
      </c>
    </row>
    <row r="15">
      <c r="B15" t="inlineStr">
        <is>
          <t>La mayor venta</t>
        </is>
      </c>
      <c r="C15" s="15" t="n"/>
      <c r="E15" t="inlineStr">
        <is>
          <t>Este</t>
        </is>
      </c>
      <c r="F15" s="17">
        <f>150*$C$5/1000</f>
        <v/>
      </c>
      <c r="I15" s="4" t="inlineStr">
        <is>
          <t>escribe =INDICE(ORDENAR(F13:F17;1;-1);1)</t>
        </is>
      </c>
      <c r="K15" s="16" t="n">
        <v>119.96</v>
      </c>
    </row>
    <row r="16">
      <c r="E16" t="inlineStr">
        <is>
          <t>Oeste</t>
        </is>
      </c>
      <c r="F16" s="17">
        <f>60*$C$5/1000</f>
        <v/>
      </c>
      <c r="K16" s="16" t="n">
        <v>118.43</v>
      </c>
    </row>
    <row r="17">
      <c r="E17" t="inlineStr">
        <is>
          <t>Centro</t>
        </is>
      </c>
      <c r="F17" s="17">
        <f>200*$C$5/1000</f>
        <v/>
      </c>
      <c r="K17" s="16" t="n">
        <v>123.06</v>
      </c>
    </row>
    <row r="18">
      <c r="K18" s="16" t="n">
        <v>103.96</v>
      </c>
    </row>
    <row r="19">
      <c r="K19" s="16" t="n">
        <v>123.39</v>
      </c>
    </row>
    <row r="20">
      <c r="B20" s="2" t="inlineStr">
        <is>
          <t>4. ENTRADA CON FÓRMULA (prueba H)</t>
        </is>
      </c>
      <c r="K20" s="16" t="n">
        <v>114.93</v>
      </c>
    </row>
    <row r="21">
      <c r="B21" t="inlineStr">
        <is>
          <t>Coste unitario (es una fórmula: =7+1)</t>
        </is>
      </c>
      <c r="C21">
        <f>7+1</f>
        <v/>
      </c>
      <c r="K21" s="16" t="n">
        <v>120.58</v>
      </c>
    </row>
    <row r="22">
      <c r="B22" t="inlineStr">
        <is>
          <t>Coste total = coste unitario × demanda</t>
        </is>
      </c>
      <c r="C22" s="16">
        <f>C21*C5</f>
        <v/>
      </c>
      <c r="K22" s="16" t="n">
        <v>123.19</v>
      </c>
    </row>
    <row r="23">
      <c r="K23" s="16" t="n">
        <v>122.39</v>
      </c>
    </row>
    <row r="24">
      <c r="B24" s="2" t="inlineStr">
        <is>
          <t>6. FUNCIONES NUEVAS (pruebas F7–F10)</t>
        </is>
      </c>
      <c r="E24" s="8" t="inlineStr">
        <is>
          <t>Plazo</t>
        </is>
      </c>
      <c r="F24" s="8" t="inlineStr">
        <is>
          <t>Peso</t>
        </is>
      </c>
      <c r="K24" s="16" t="n">
        <v>135.13</v>
      </c>
    </row>
    <row r="25">
      <c r="B25" t="inlineStr">
        <is>
          <t>Plazo de entrega (días)</t>
        </is>
      </c>
      <c r="C25" s="15" t="n"/>
      <c r="E25" t="n">
        <v>3</v>
      </c>
      <c r="F25" s="18" t="n">
        <v>0.5</v>
      </c>
      <c r="I25" s="4" t="inlineStr">
        <is>
          <t>escribe =RIESGO.DISCRETA(E25:E27;F25:F27)</t>
        </is>
      </c>
      <c r="K25" s="16" t="n">
        <v>107.99</v>
      </c>
    </row>
    <row r="26">
      <c r="B26" t="inlineStr">
        <is>
          <t>Demanda acotada</t>
        </is>
      </c>
      <c r="C26" s="15" t="n"/>
      <c r="E26" t="n">
        <v>5</v>
      </c>
      <c r="F26" s="18" t="n">
        <v>0.3</v>
      </c>
      <c r="I26" s="4" t="inlineStr">
        <is>
          <t>escribe =RIESGO.TRUNCAR(RIESGO.NORMAL(100;30);50;150)</t>
        </is>
      </c>
      <c r="K26" s="16" t="n">
        <v>128.92</v>
      </c>
    </row>
    <row r="27">
      <c r="B27" t="inlineStr">
        <is>
          <t>Precio lognormal</t>
        </is>
      </c>
      <c r="C27" s="15" t="n"/>
      <c r="E27" t="n">
        <v>10</v>
      </c>
      <c r="F27" s="18" t="n">
        <v>0.2</v>
      </c>
      <c r="I27" s="4" t="inlineStr">
        <is>
          <t>escribe =RIESGO.LOGNORMAL2(4,6;0,2)</t>
        </is>
      </c>
      <c r="K27" s="16" t="n">
        <v>117.6</v>
      </c>
    </row>
    <row r="28">
      <c r="B28" t="inlineStr">
        <is>
          <t>Precio según el histórico</t>
        </is>
      </c>
      <c r="C28" s="15" t="n"/>
      <c r="I28" s="4" t="inlineStr">
        <is>
          <t>escribe =RIESGO.EMPIRICA(K5:K44)</t>
        </is>
      </c>
      <c r="K28" s="16" t="n">
        <v>114.05</v>
      </c>
    </row>
    <row r="29">
      <c r="B29" t="inlineStr">
        <is>
          <t>Suma de control</t>
        </is>
      </c>
      <c r="C29" s="16">
        <f>C25+C26+C27+C28</f>
        <v/>
      </c>
      <c r="K29" s="16" t="n">
        <v>104.62</v>
      </c>
    </row>
    <row r="30">
      <c r="K30" s="16" t="n">
        <v>102.97</v>
      </c>
    </row>
    <row r="31">
      <c r="B31" s="2" t="inlineStr">
        <is>
          <t>7. RIESGO CON CELDAS (pruebas F12–F15)</t>
        </is>
      </c>
      <c r="K31" s="16" t="n">
        <v>114.72</v>
      </c>
    </row>
    <row r="32">
      <c r="B32" t="inlineStr">
        <is>
          <t>Media de la demanda</t>
        </is>
      </c>
      <c r="C32" t="n">
        <v>1000</v>
      </c>
      <c r="K32" s="16" t="n">
        <v>92.87</v>
      </c>
    </row>
    <row r="33">
      <c r="B33" t="inlineStr">
        <is>
          <t>Desviación de la demanda</t>
        </is>
      </c>
      <c r="C33" t="n">
        <v>150</v>
      </c>
      <c r="K33" s="16" t="n">
        <v>90.79000000000001</v>
      </c>
    </row>
    <row r="34">
      <c r="B34" t="inlineStr">
        <is>
          <t>Demanda con celdas</t>
        </is>
      </c>
      <c r="C34" s="15" t="n"/>
      <c r="I34" s="4" t="inlineStr">
        <is>
          <t>escribe =RIESGO.NORMAL(C32;C33)</t>
        </is>
      </c>
      <c r="K34" s="16" t="n">
        <v>105.47</v>
      </c>
    </row>
    <row r="35">
      <c r="B35" t="inlineStr">
        <is>
          <t>Precio con imprevisto</t>
        </is>
      </c>
      <c r="C35" s="15" t="n"/>
      <c r="I35" s="4" t="inlineStr">
        <is>
          <t>escribe =10+RIESGO.NORMAL(0;1)</t>
        </is>
      </c>
      <c r="K35" s="16" t="n">
        <v>115.54</v>
      </c>
    </row>
    <row r="36">
      <c r="B36" t="inlineStr">
        <is>
          <t>Demanda del mes siguiente</t>
        </is>
      </c>
      <c r="C36" s="15" t="n"/>
      <c r="I36" s="4" t="inlineStr">
        <is>
          <t>escribe =RIESGO.NORMAL(C34;50)</t>
        </is>
      </c>
      <c r="K36" s="16" t="n">
        <v>105.38</v>
      </c>
    </row>
    <row r="37">
      <c r="B37" t="inlineStr">
        <is>
          <t>Ingresos con celdas</t>
        </is>
      </c>
      <c r="C37" s="16">
        <f>C36*C35</f>
        <v/>
      </c>
      <c r="K37" s="16" t="n">
        <v>138.82</v>
      </c>
    </row>
    <row r="38">
      <c r="K38" s="16" t="n">
        <v>131.28</v>
      </c>
    </row>
    <row r="39">
      <c r="B39" s="2" t="inlineStr">
        <is>
          <t>8. RESULTADOS EN LA HOJA (pruebas F16–F19)</t>
        </is>
      </c>
      <c r="K39" s="16" t="n">
        <v>95.36</v>
      </c>
    </row>
    <row r="40">
      <c r="B40" t="inlineStr">
        <is>
          <t>Media de los ingresos</t>
        </is>
      </c>
      <c r="C40" s="19" t="n"/>
      <c r="I40" s="4" t="inlineStr">
        <is>
          <t>escribe =RIESGO.MEDIA(C37)</t>
        </is>
      </c>
      <c r="K40" s="16" t="n">
        <v>120.34</v>
      </c>
    </row>
    <row r="41">
      <c r="B41" t="inlineStr">
        <is>
          <t>p5 de los ingresos</t>
        </is>
      </c>
      <c r="C41" s="19" t="n"/>
      <c r="I41" s="4" t="inlineStr">
        <is>
          <t>escribe =RIESGO.PERCENTIL(C37;0,05)</t>
        </is>
      </c>
      <c r="K41" s="16" t="n">
        <v>131.99</v>
      </c>
    </row>
    <row r="42">
      <c r="B42" t="inlineStr">
        <is>
          <t>Probabilidad de ingresos &lt; 8.000</t>
        </is>
      </c>
      <c r="C42" s="20" t="n"/>
      <c r="I42" s="4" t="inlineStr">
        <is>
          <t>escribe =RIESGO.PROB(C37;8000)</t>
        </is>
      </c>
      <c r="K42" s="16" t="n">
        <v>108.7</v>
      </c>
    </row>
    <row r="43">
      <c r="B43" t="inlineStr">
        <is>
          <t>Desviación de los ingresos</t>
        </is>
      </c>
      <c r="C43" s="19" t="n"/>
      <c r="I43" s="4" t="inlineStr">
        <is>
          <t>escribe =RIESGO.DESV(C37)</t>
        </is>
      </c>
      <c r="K43" s="16" t="n">
        <v>113.68</v>
      </c>
    </row>
    <row r="44">
      <c r="K44" s="16" t="n">
        <v>121.08</v>
      </c>
    </row>
    <row r="45">
      <c r="B45" s="2" t="inlineStr">
        <is>
          <t>9. SALIDA Y CORRELACIÓN CON FUNCIONES (pruebas F20–F21)</t>
        </is>
      </c>
    </row>
    <row r="46">
      <c r="B46" t="inlineStr">
        <is>
          <t>Coste de materiales</t>
        </is>
      </c>
      <c r="C46" s="19" t="n"/>
      <c r="I46" s="4" t="inlineStr">
        <is>
          <t>escribe =RIESGO.NORMAL(100;10)</t>
        </is>
      </c>
    </row>
    <row r="47">
      <c r="B47" t="inlineStr">
        <is>
          <t>Coste de transporte</t>
        </is>
      </c>
      <c r="C47" s="19" t="n"/>
      <c r="I47" s="4" t="inlineStr">
        <is>
          <t>escribe =RIESGO.NORMAL(50;5)</t>
        </is>
      </c>
    </row>
    <row r="48">
      <c r="B48" t="inlineStr">
        <is>
          <t>Correlación materiales-transporte</t>
        </is>
      </c>
      <c r="C48" s="21" t="n"/>
      <c r="I48" s="4" t="inlineStr">
        <is>
          <t>escribe =RIESGO.CORRELACION(C46;C47;0,9)</t>
        </is>
      </c>
    </row>
    <row r="49">
      <c r="B49" t="inlineStr">
        <is>
          <t>Coste total</t>
        </is>
      </c>
      <c r="C49" s="19" t="n"/>
      <c r="I49" s="4" t="inlineStr">
        <is>
          <t>escribe =RIESGO.SALIDA("Coste total")+C46+C47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3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0" customWidth="1" min="5" max="5"/>
    <col width="12" customWidth="1" min="6" max="6"/>
    <col width="10" customWidth="1" min="7" max="7"/>
    <col width="44" customWidth="1" min="9" max="9"/>
  </cols>
  <sheetData>
    <row r="2">
      <c r="B2" s="1" t="inlineStr">
        <is>
          <t>Variables de texto — zona de venta</t>
        </is>
      </c>
    </row>
    <row r="3">
      <c r="B3" s="4" t="inlineStr">
        <is>
          <t>La zona es un texto con su probabilidad. El recargo depende de la zona; la gama y el «¿supera?» son salidas de texto y de sí/no.</t>
        </is>
      </c>
    </row>
    <row r="4">
      <c r="B4" t="inlineStr">
        <is>
          <t>Zona de venta</t>
        </is>
      </c>
      <c r="C4" t="inlineStr">
        <is>
          <t>Norte</t>
        </is>
      </c>
      <c r="E4" s="8" t="inlineStr">
        <is>
          <t>Zona</t>
        </is>
      </c>
      <c r="F4" s="8" t="inlineStr">
        <is>
          <t>Probabilidad</t>
        </is>
      </c>
      <c r="G4" s="8" t="inlineStr">
        <is>
          <t>Recargo</t>
        </is>
      </c>
      <c r="I4" s="4" t="inlineStr">
        <is>
          <t>marca como entrada: el panel la propone como texto</t>
        </is>
      </c>
    </row>
    <row r="5">
      <c r="B5" t="inlineStr">
        <is>
          <t>Recargo por zona</t>
        </is>
      </c>
      <c r="C5" s="22">
        <f>VLOOKUP(C4,$E$5:$G$7,3,FALSE)</f>
        <v/>
      </c>
      <c r="E5" t="inlineStr">
        <is>
          <t>Norte</t>
        </is>
      </c>
      <c r="F5" s="18" t="n">
        <v>0.2</v>
      </c>
      <c r="G5" s="22" t="n">
        <v>1.1</v>
      </c>
    </row>
    <row r="6">
      <c r="B6" t="inlineStr">
        <is>
          <t>Precio base</t>
        </is>
      </c>
      <c r="C6" s="11" t="n">
        <v>100</v>
      </c>
      <c r="E6" t="inlineStr">
        <is>
          <t>Sur</t>
        </is>
      </c>
      <c r="F6" s="18" t="n">
        <v>0.5</v>
      </c>
      <c r="G6" s="22" t="n">
        <v>1</v>
      </c>
      <c r="I6" s="4" t="inlineStr">
        <is>
          <t>marca como entrada</t>
        </is>
      </c>
    </row>
    <row r="7">
      <c r="B7" t="inlineStr">
        <is>
          <t>Unidades</t>
        </is>
      </c>
      <c r="C7" s="10" t="n">
        <v>1000</v>
      </c>
      <c r="E7" t="inlineStr">
        <is>
          <t>Este</t>
        </is>
      </c>
      <c r="F7" s="18" t="n">
        <v>0.3</v>
      </c>
      <c r="G7" s="22" t="n">
        <v>0.9</v>
      </c>
      <c r="I7" s="4" t="inlineStr">
        <is>
          <t>marca como entrada</t>
        </is>
      </c>
    </row>
    <row r="8">
      <c r="B8" t="inlineStr">
        <is>
          <t>Ingresos</t>
        </is>
      </c>
      <c r="C8" s="11">
        <f>C6*C5*C7</f>
        <v/>
      </c>
      <c r="I8" s="4" t="inlineStr">
        <is>
          <t>salida numérica</t>
        </is>
      </c>
    </row>
    <row r="9">
      <c r="B9" t="inlineStr">
        <is>
          <t>Gama</t>
        </is>
      </c>
      <c r="C9">
        <f>IF(C8&gt;110000,"Alta",IF(C8&gt;90000,"Media","Baja"))</f>
        <v/>
      </c>
      <c r="I9" s="4" t="inlineStr">
        <is>
          <t>salida de texto</t>
        </is>
      </c>
    </row>
    <row r="10">
      <c r="B10" t="inlineStr">
        <is>
          <t>¿Supera 100.000 €?</t>
        </is>
      </c>
      <c r="C10">
        <f>C8&gt;100000</f>
        <v/>
      </c>
      <c r="I10" s="4" t="inlineStr">
        <is>
          <t>salida de sí/no</t>
        </is>
      </c>
    </row>
    <row r="12">
      <c r="B12" t="inlineStr">
        <is>
          <t>Zona con función</t>
        </is>
      </c>
      <c r="C12" s="15" t="n"/>
      <c r="I12" s="4" t="inlineStr">
        <is>
          <t>escribe =RIESGO.CATEGORIA(E5:E7;F5:F7)</t>
        </is>
      </c>
    </row>
    <row r="13">
      <c r="B13" t="inlineStr">
        <is>
          <t>Ingresos con la zona de la función</t>
        </is>
      </c>
      <c r="C13" s="11">
        <f>C6*VLOOKUP(C12,$E$5:$G$7,3,FALSE)*C7</f>
        <v/>
      </c>
      <c r="I13" s="4" t="inlineStr">
        <is>
          <t>salida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2026-09-29T11:41:50Z</dcterms:created>
  <dcterms:modified xsi:type="dcterms:W3CDTF">2026-09-29T11:41:50Z</dcterms:modified>
</cp:coreProperties>
</file>