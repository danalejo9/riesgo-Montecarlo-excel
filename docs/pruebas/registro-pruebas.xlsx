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ciones" sheetId="1" state="visible" r:id="rId1"/>
    <sheet xmlns:r="http://schemas.openxmlformats.org/officeDocument/2006/relationships" name="Pruebas" sheetId="2" state="visible" r:id="rId2"/>
    <sheet xmlns:r="http://schemas.openxmlformats.org/officeDocument/2006/relationships" name="Resumen" sheetId="3" state="visible" r:id="rId3"/>
  </sheets>
  <definedNames>
    <definedName name="_xlnm._FilterDatabase" localSheetId="1" hidden="1">'Pruebas'!$A$1:$K$219</definedName>
    <definedName name="_xlnm.Print_Titles" localSheetId="1">'Pruebas'!$1:$1</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3"/>
    </font>
    <font>
      <b val="1"/>
      <sz val="11"/>
    </font>
    <font>
      <b val="1"/>
      <color rgb="00FFFFFF"/>
    </font>
    <font>
      <b val="1"/>
    </font>
  </fonts>
  <fills count="4">
    <fill>
      <patternFill/>
    </fill>
    <fill>
      <patternFill patternType="gray125"/>
    </fill>
    <fill>
      <patternFill patternType="solid">
        <fgColor rgb="001F4E78"/>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164" fontId="0" fillId="0" borderId="1" applyAlignment="1" pivotButton="0" quotePrefix="0" xfId="0">
      <alignment vertical="top" wrapText="1"/>
    </xf>
    <xf numFmtId="0" fontId="3" fillId="2" borderId="1" pivotButton="0" quotePrefix="0" xfId="0"/>
    <xf numFmtId="0" fontId="0" fillId="0" borderId="1" pivotButton="0" quotePrefix="0" xfId="0"/>
    <xf numFmtId="9" fontId="0" fillId="0" borderId="1" pivotButton="0" quotePrefix="0" xfId="0"/>
    <xf numFmtId="0" fontId="4" fillId="3" borderId="1" pivotButton="0" quotePrefix="0" xfId="0"/>
    <xf numFmtId="9" fontId="4" fillId="3" borderId="1" pivotButton="0" quotePrefix="0" xfId="0"/>
  </cellXfs>
  <cellStyles count="1">
    <cellStyle name="Normal" xfId="0" builtinId="0" hidden="0"/>
  </cellStyles>
  <dxfs count="5">
    <dxf>
      <fill>
        <patternFill patternType="solid">
          <fgColor rgb="00C6EFCE"/>
        </patternFill>
      </fill>
    </dxf>
    <dxf>
      <fill>
        <patternFill patternType="solid">
          <fgColor rgb="00FFC7CE"/>
        </patternFill>
      </fill>
    </dxf>
    <dxf>
      <fill>
        <patternFill patternType="solid">
          <fgColor rgb="00D9D9D9"/>
        </patternFill>
      </fill>
    </dxf>
    <dxf>
      <fill>
        <patternFill patternType="solid">
          <fgColor rgb="00FFF2CC"/>
        </patternFill>
      </fill>
    </dxf>
    <dxf>
      <fill>
        <patternFill patternType="solid">
          <f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40" customWidth="1" min="1" max="1"/>
  </cols>
  <sheetData>
    <row r="1">
      <c r="A1" s="1" t="inlineStr">
        <is>
          <t>Registro de la ronda completa de pruebas (08/10, tras unir las ramas en main)</t>
        </is>
      </c>
    </row>
    <row r="2">
      <c r="A2" s="2" t="inlineStr"/>
    </row>
    <row r="3">
      <c r="A3" s="3" t="inlineStr">
        <is>
          <t>Cómo usarlo</t>
        </is>
      </c>
    </row>
    <row r="4">
      <c r="A4" s="2" t="inlineStr">
        <is>
          <t>1. Antes de empezar, haz los pasos 1 a 3 de docs\GUIA_PRUEBAS_EXCEL.md (pasar a main, arranque limpio, preparar aurora-base.xlsx y cronograma-base.xlsx).</t>
        </is>
      </c>
    </row>
    <row r="5">
      <c r="A5" s="2" t="inlineStr">
        <is>
          <t>2. Ve a la hoja «Pruebas». Sigue las filas en orden (columna Orden). La columna «Libro» dice qué archivo abrir; «Pasos» y «Esperado» están copiados de la guía.</t>
        </is>
      </c>
    </row>
    <row r="6">
      <c r="A6" s="2" t="inlineStr">
        <is>
          <t>3. En «Resultado» elige OK, Falla, No aplica o Pendiente. Si es Falla, escribe en «Qué ves» lo que sale y guarda una captura con el código en el nombre (por ejemplo GT21.png).</t>
        </is>
      </c>
    </row>
    <row r="7">
      <c r="A7" s="2" t="inlineStr">
        <is>
          <t>4. La hoja «Resumen» cuenta los resultados por bloque. Filtra la hoja Pruebas por Bloque o por Resultado con las flechas del encabezado.</t>
        </is>
      </c>
    </row>
    <row r="8">
      <c r="A8" s="2" t="inlineStr">
        <is>
          <t>5. Al final de cada día, guarda y mándame este archivo con las capturas.</t>
        </is>
      </c>
    </row>
    <row r="9">
      <c r="A9" s="2" t="inlineStr"/>
    </row>
    <row r="10">
      <c r="A10" s="3" t="inlineStr">
        <is>
          <t>Los libros</t>
        </is>
      </c>
    </row>
    <row r="11">
      <c r="A11" s="2" t="inlineStr">
        <is>
          <t>aurora-base.xlsx: copia de ejemplos\demo-proyecto-aurora.xlsx con «Rellenar las hojas de prueba» (Diagnóstico). No se toca: para cada bloque, una copia (aurora-A.xlsx, aurora-D.xlsx…).</t>
        </is>
      </c>
    </row>
    <row r="12">
      <c r="A12" s="2" t="inlineStr">
        <is>
          <t>cronograma-base.xlsx: libro en blanco → Cronograma → Crear libro de cronograma (Obra) con Config!B2 = 04/01/2027, Config!B9 = 31/01/2028 y Hitos_Contrato!B2 = 31/01/2028. No se toca: una copia por bloque (cronograma-Q.xlsx, cronograma-GT1.xlsx…).</t>
        </is>
      </c>
    </row>
    <row r="13">
      <c r="A13" s="2" t="inlineStr">
        <is>
          <t>Para copiar, en PowerShell: Copy-Item "$HOME\Desktop\aurora-base.xlsx" "$HOME\Desktop\aurora-A.xlsx"</t>
        </is>
      </c>
    </row>
    <row r="14">
      <c r="A14" s="2" t="inlineStr">
        <is>
          <t>tests\fixtures\qrsa\: R1-simple.xml, R2-relaciones.xml, R3-calendario.xml, R1-simple.xer (importar y ProjectLibre).</t>
        </is>
      </c>
    </row>
    <row r="15">
      <c r="A15" s="2" t="inlineStr">
        <is>
          <t>tests\fixtures\: fidelidad-tanda7.xlsx, fidelidad-tanda8.xlsx, fidelidad-lambda.xlsx (bloque I y N33): ábrelos como copias.</t>
        </is>
      </c>
    </row>
    <row r="16">
      <c r="A16" s="2" t="inlineStr"/>
    </row>
    <row r="17">
      <c r="A17" s="2" t="inlineStr">
        <is>
          <t>Este archivo se genera desde la guía con: python3 docs/pruebas/generar-registro.py</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K2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8" customWidth="1" min="3" max="3"/>
    <col width="30" customWidth="1" min="4" max="4"/>
    <col width="30" customWidth="1" min="5" max="5"/>
    <col width="70" customWidth="1" min="6" max="6"/>
    <col width="60" customWidth="1" min="7" max="7"/>
    <col width="12" customWidth="1" min="8" max="8"/>
    <col width="40" customWidth="1" min="9" max="9"/>
    <col width="14" customWidth="1" min="10" max="10"/>
    <col width="12" customWidth="1" min="11" max="11"/>
  </cols>
  <sheetData>
    <row r="1">
      <c r="A1" s="4" t="inlineStr">
        <is>
          <t>Orden</t>
        </is>
      </c>
      <c r="B1" s="4" t="inlineStr">
        <is>
          <t>Bloque</t>
        </is>
      </c>
      <c r="C1" s="4" t="inlineStr">
        <is>
          <t>Código</t>
        </is>
      </c>
      <c r="D1" s="4" t="inlineStr">
        <is>
          <t>Prueba</t>
        </is>
      </c>
      <c r="E1" s="4" t="inlineStr">
        <is>
          <t>Libro</t>
        </is>
      </c>
      <c r="F1" s="4" t="inlineStr">
        <is>
          <t>Pasos</t>
        </is>
      </c>
      <c r="G1" s="4" t="inlineStr">
        <is>
          <t>Esperado</t>
        </is>
      </c>
      <c r="H1" s="4" t="inlineStr">
        <is>
          <t>Resultado</t>
        </is>
      </c>
      <c r="I1" s="4" t="inlineStr">
        <is>
          <t>Qué ves / notas</t>
        </is>
      </c>
      <c r="J1" s="4" t="inlineStr">
        <is>
          <t>Captura</t>
        </is>
      </c>
      <c r="K1" s="4" t="inlineStr">
        <is>
          <t>Fecha</t>
        </is>
      </c>
    </row>
    <row r="2">
      <c r="A2" s="5" t="n">
        <v>1</v>
      </c>
      <c r="B2" s="5" t="inlineStr">
        <is>
          <t>01. Preparación (P0)</t>
        </is>
      </c>
      <c r="C2" s="6" t="inlineStr">
        <is>
          <t>P0</t>
        </is>
      </c>
      <c r="D2" s="5" t="inlineStr">
        <is>
          <t>En la cinta, la pestaña Riesgo tiene cuatro botones:</t>
        </is>
      </c>
      <c r="E2" s="5" t="inlineStr">
        <is>
          <t>Cualquier libro</t>
        </is>
      </c>
      <c r="F2" s="5" t="inlineStr">
        <is>
          <t>En la cinta, la pestaña Riesgo tiene cuatro botones: Modelo, Resultados, Configuración y Diagnóstico. Al pulsar Modelo se abre el panel (no se queda en blanco).</t>
        </is>
      </c>
      <c r="G2" s="5" t="inlineStr">
        <is>
          <t>(Lo esperado está en los pasos.)</t>
        </is>
      </c>
      <c r="H2" s="5" t="inlineStr">
        <is>
          <t>Pendiente</t>
        </is>
      </c>
      <c r="I2" s="5" t="n"/>
      <c r="J2" s="5" t="n"/>
      <c r="K2" s="7" t="n"/>
    </row>
    <row r="3">
      <c r="A3" s="5" t="n">
        <v>2</v>
      </c>
      <c r="B3" s="5" t="inlineStr">
        <is>
          <t>02. A · Lo básico (hoja «Modelo»)</t>
        </is>
      </c>
      <c r="C3" s="6" t="inlineStr">
        <is>
          <t>A1</t>
        </is>
      </c>
      <c r="D3" s="5" t="inlineStr">
        <is>
          <t>Valores base</t>
        </is>
      </c>
      <c r="E3" s="5" t="inlineStr">
        <is>
          <t>aurora-A.xlsx (copia de aurora-base.xlsx)</t>
        </is>
      </c>
      <c r="F3" s="5" t="inlineStr">
        <is>
          <t>Sin tocar nada:
- Modelo!C32 = 366.372 €
- C33 = 22,1 %
- C34 = 942.185 €</t>
        </is>
      </c>
      <c r="G3" s="5" t="inlineStr">
        <is>
          <t>(Lo esperado está en los pasos.)</t>
        </is>
      </c>
      <c r="H3" s="5" t="inlineStr">
        <is>
          <t>Pendiente</t>
        </is>
      </c>
      <c r="I3" s="5" t="n"/>
      <c r="J3" s="5" t="n"/>
      <c r="K3" s="7" t="n"/>
    </row>
    <row r="4">
      <c r="A4" s="5" t="n">
        <v>3</v>
      </c>
      <c r="B4" s="5" t="inlineStr">
        <is>
          <t>02. A · Lo básico (hoja «Modelo»)</t>
        </is>
      </c>
      <c r="C4" s="6" t="inlineStr">
        <is>
          <t>A2</t>
        </is>
      </c>
      <c r="D4" s="5" t="inlineStr">
        <is>
          <t>Marcar con nombres legibles</t>
        </is>
      </c>
      <c r="E4" s="5" t="inlineStr">
        <is>
          <t>aurora-A.xlsx (copia de aurora-base.xlsx)</t>
        </is>
      </c>
      <c r="F4" s="5" t="inlineStr">
        <is>
          <t>Botón Modelo. Selecciona C5 y pulsa «Añadir la selección como entrada».
- Esperado:
  - La entrada se llama «Precio unitario» (el texto de su izquierda), no «Modelo!C5».
  - La celda se pinta de amarillo.
  - El panel le propone una triangular de 108 a 132.</t>
        </is>
      </c>
      <c r="G4" s="5" t="inlineStr">
        <is>
          <t>(Lo esperado está en los pasos.)</t>
        </is>
      </c>
      <c r="H4" s="5" t="inlineStr">
        <is>
          <t>Pendiente</t>
        </is>
      </c>
      <c r="I4" s="5" t="n"/>
      <c r="J4" s="5" t="n"/>
      <c r="K4" s="7" t="n"/>
    </row>
    <row r="5">
      <c r="A5" s="5" t="n">
        <v>4</v>
      </c>
      <c r="B5" s="5" t="inlineStr">
        <is>
          <t>02. A · Lo básico (hoja «Modelo»)</t>
        </is>
      </c>
      <c r="C5" s="6" t="inlineStr">
        <is>
          <t>A3</t>
        </is>
      </c>
      <c r="D5" s="5" t="inlineStr">
        <is>
          <t>Vista previa</t>
        </is>
      </c>
      <c r="E5" s="5" t="inlineStr">
        <is>
          <t>aurora-A.xlsx (copia de aurora-base.xlsx)</t>
        </is>
      </c>
      <c r="F5" s="5" t="inlineStr">
        <is>
          <t>Abre la entrada C5 y cámbiala a Triangular 105 / 120 / 140 (la distribución de la hoja «Instrucciones»).
- Esperado: debajo de los campos, un dibujo de la distribución que cambia según escribes, con «p5 … · p50 … · p95 … · media …».
- Escribe un mínimo mayor que la moda (p. ej. 130): sale un aviso y la vista previa no se rompe. Vuelve a 105.</t>
        </is>
      </c>
      <c r="G5" s="5" t="inlineStr">
        <is>
          <t>(Lo esperado está en los pasos.)</t>
        </is>
      </c>
      <c r="H5" s="5" t="inlineStr">
        <is>
          <t>Pendiente</t>
        </is>
      </c>
      <c r="I5" s="5" t="n"/>
      <c r="J5" s="5" t="n"/>
      <c r="K5" s="7" t="n"/>
    </row>
    <row r="6">
      <c r="A6" s="5" t="n">
        <v>5</v>
      </c>
      <c r="B6" s="5" t="inlineStr">
        <is>
          <t>02. A · Lo básico (hoja «Modelo»)</t>
        </is>
      </c>
      <c r="C6" s="6" t="inlineStr">
        <is>
          <t>A4</t>
        </is>
      </c>
      <c r="D6" s="5" t="inlineStr">
        <is>
          <t>Acotar</t>
        </is>
      </c>
      <c r="E6" s="5" t="inlineStr">
        <is>
          <t>aurora-A.xlsx (copia de aurora-base.xlsx)</t>
        </is>
      </c>
      <c r="F6" s="5" t="inlineStr">
        <is>
          <t>En la misma entrada, en «Acotar: mínimo» escribe 110.
- Esperado: la vista previa se corta en 110 y el p5 sube.
- Borra el 110: vuelve a como estaba.</t>
        </is>
      </c>
      <c r="G6" s="5" t="inlineStr">
        <is>
          <t>(Lo esperado está en los pasos.)</t>
        </is>
      </c>
      <c r="H6" s="5" t="inlineStr">
        <is>
          <t>Pendiente</t>
        </is>
      </c>
      <c r="I6" s="5" t="n"/>
      <c r="J6" s="5" t="n"/>
      <c r="K6" s="7" t="n"/>
    </row>
    <row r="7">
      <c r="A7" s="5" t="n">
        <v>6</v>
      </c>
      <c r="B7" s="5" t="inlineStr">
        <is>
          <t>02. A · Lo básico (hoja «Modelo»)</t>
        </is>
      </c>
      <c r="C7" s="6" t="inlineStr">
        <is>
          <t>A5</t>
        </is>
      </c>
      <c r="D7" s="5" t="inlineStr">
        <is>
          <t>El resto del modelo</t>
        </is>
      </c>
      <c r="E7" s="5" t="inlineStr">
        <is>
          <t>aurora-A.xlsx (copia de aurora-base.xlsx)</t>
        </is>
      </c>
      <c r="F7" s="5" t="inlineStr">
        <is>
          <t>Marca también como entradas C6, C7, C8 y C9, con las distribuciones de la hoja «Instrucciones». Marca como salidas C32, C33 y C34.
- Esperado:
  - Cada una lleva el nombre de su fila: «Unidades vendidas el año 1», «VAN al 11 %», «TIR del proyecto»…
  - Las salidas se pintan de verde.</t>
        </is>
      </c>
      <c r="G7" s="5" t="inlineStr">
        <is>
          <t>(Lo esperado está en los pasos.)</t>
        </is>
      </c>
      <c r="H7" s="5" t="inlineStr">
        <is>
          <t>Pendiente</t>
        </is>
      </c>
      <c r="I7" s="5" t="n"/>
      <c r="J7" s="5" t="n"/>
      <c r="K7" s="7" t="n"/>
    </row>
    <row r="8">
      <c r="A8" s="5" t="n">
        <v>7</v>
      </c>
      <c r="B8" s="5" t="inlineStr">
        <is>
          <t>02. A · Lo básico (hoja «Modelo»)</t>
        </is>
      </c>
      <c r="C8" s="6" t="inlineStr">
        <is>
          <t>A6</t>
        </is>
      </c>
      <c r="D8" s="5" t="inlineStr">
        <is>
          <t>Simular</t>
        </is>
      </c>
      <c r="E8" s="5" t="inlineStr">
        <is>
          <t>aurora-A.xlsx (copia de aurora-base.xlsx)</t>
        </is>
      </c>
      <c r="F8" s="5" t="inlineStr">
        <is>
          <t>Pulsa Simular (10.000 iteraciones, motor automático).
- Esperado: en «Cómo se calculó», Rápido (en memoria); tarda menos de 2 segundos.
- VAN: mediana en torno a +255.000 €.</t>
        </is>
      </c>
      <c r="G8" s="5" t="inlineStr">
        <is>
          <t>(Lo esperado está en los pasos.)</t>
        </is>
      </c>
      <c r="H8" s="5" t="inlineStr">
        <is>
          <t>Pendiente</t>
        </is>
      </c>
      <c r="I8" s="5" t="n"/>
      <c r="J8" s="5" t="n"/>
      <c r="K8" s="7" t="n"/>
    </row>
    <row r="9">
      <c r="A9" s="5" t="n">
        <v>8</v>
      </c>
      <c r="B9" s="5" t="inlineStr">
        <is>
          <t>02. A · Lo básico (hoja «Modelo»)</t>
        </is>
      </c>
      <c r="C9" s="6" t="inlineStr">
        <is>
          <t>A7</t>
        </is>
      </c>
      <c r="D9" s="5" t="inlineStr">
        <is>
          <t>Resumen y selector de salidas</t>
        </is>
      </c>
      <c r="E9" s="5" t="inlineStr">
        <is>
          <t>aurora-A.xlsx (copia de aurora-base.xlsx)</t>
        </is>
      </c>
      <c r="F9" s="5" t="inlineStr">
        <is>
          <t>Al principio de Resultados, una tabla «Salidas» con las tres y un desplegable «Ver».
- Debajo se ve una sola salida.
- Pulsa otra fila de la tabla: cambia la que se ve.
- Selecciona en la hoja la celda C33: el panel salta a la TIR.</t>
        </is>
      </c>
      <c r="G9" s="5" t="inlineStr">
        <is>
          <t>(Lo esperado está en los pasos.)</t>
        </is>
      </c>
      <c r="H9" s="5" t="inlineStr">
        <is>
          <t>Pendiente</t>
        </is>
      </c>
      <c r="I9" s="5" t="n"/>
      <c r="J9" s="5" t="n"/>
      <c r="K9" s="7" t="n"/>
    </row>
    <row r="10">
      <c r="A10" s="5" t="n">
        <v>9</v>
      </c>
      <c r="B10" s="5" t="inlineStr">
        <is>
          <t>02. A · Lo básico (hoja «Modelo»)</t>
        </is>
      </c>
      <c r="C10" s="6" t="inlineStr">
        <is>
          <t>A8</t>
        </is>
      </c>
      <c r="D10" s="5" t="inlineStr">
        <is>
          <t>Lectura en palabras</t>
        </is>
      </c>
      <c r="E10" s="5" t="inlineStr">
        <is>
          <t>aurora-A.xlsx (copia de aurora-base.xlsx)</t>
        </is>
      </c>
      <c r="F10" s="5" t="inlineStr">
        <is>
          <t>Debajo del nombre del VAN, un párrafo, por ejemplo: «VAN al 11 % tiene una media de…; en el 90 % de los casos simulados queda entre… y…», y qué entradas lo mueven más.</t>
        </is>
      </c>
      <c r="G10" s="5" t="inlineStr">
        <is>
          <t>(Lo esperado está en los pasos.)</t>
        </is>
      </c>
      <c r="H10" s="5" t="inlineStr">
        <is>
          <t>Pendiente</t>
        </is>
      </c>
      <c r="I10" s="5" t="n"/>
      <c r="J10" s="5" t="n"/>
      <c r="K10" s="7" t="n"/>
    </row>
    <row r="11">
      <c r="A11" s="5" t="n">
        <v>10</v>
      </c>
      <c r="B11" s="5" t="inlineStr">
        <is>
          <t>02. A · Lo básico (hoja «Modelo»)</t>
        </is>
      </c>
      <c r="C11" s="6" t="inlineStr">
        <is>
          <t>A9</t>
        </is>
      </c>
      <c r="D11" s="5" t="inlineStr">
        <is>
          <t>Umbral</t>
        </is>
      </c>
      <c r="E11" s="5" t="inlineStr">
        <is>
          <t>aurora-A.xlsx (copia de aurora-base.xlsx)</t>
        </is>
      </c>
      <c r="F11" s="5" t="inlineStr">
        <is>
          <t>En el VAN: «Probabilidad de quedar por debajo de» 0, y pulsa Intro.
- Esperado:
  - En torno a 30 %.
  - En el histograma, las barras a la izquierda del 0 en verde y las demás en gris.
  - El párrafo de A8 añade la frase de la probabilidad.</t>
        </is>
      </c>
      <c r="G11" s="5" t="inlineStr">
        <is>
          <t>(Lo esperado está en los pasos.)</t>
        </is>
      </c>
      <c r="H11" s="5" t="inlineStr">
        <is>
          <t>Pendiente</t>
        </is>
      </c>
      <c r="I11" s="5" t="n"/>
      <c r="J11" s="5" t="n"/>
      <c r="K11" s="7" t="n"/>
    </row>
    <row r="12">
      <c r="A12" s="5" t="n">
        <v>11</v>
      </c>
      <c r="B12" s="5" t="inlineStr">
        <is>
          <t>02. A · Lo básico (hoja «Modelo»)</t>
        </is>
      </c>
      <c r="C12" s="6" t="inlineStr">
        <is>
          <t>A10</t>
        </is>
      </c>
      <c r="D12" s="5" t="inlineStr">
        <is>
          <t>Tornado («Qué la mueve más»)</t>
        </is>
      </c>
      <c r="E12" s="5" t="inlineStr">
        <is>
          <t>aurora-A.xlsx (copia de aurora-base.xlsx)</t>
        </is>
      </c>
      <c r="F12" s="5" t="inlineStr">
        <is>
          <t>- Arriba, precio (C5) y coste variable (C8).
- A la derecha de cada barra, un %.
- Debajo, «Entre todas explican el X % de la variación».</t>
        </is>
      </c>
      <c r="G12" s="5" t="inlineStr">
        <is>
          <t>(Lo esperado está en los pasos.)</t>
        </is>
      </c>
      <c r="H12" s="5" t="inlineStr">
        <is>
          <t>Pendiente</t>
        </is>
      </c>
      <c r="I12" s="5" t="n"/>
      <c r="J12" s="5" t="n"/>
      <c r="K12" s="7" t="n"/>
    </row>
    <row r="13">
      <c r="A13" s="5" t="n">
        <v>12</v>
      </c>
      <c r="B13" s="5" t="inlineStr">
        <is>
          <t>02. A · Lo básico (hoja «Modelo»)</t>
        </is>
      </c>
      <c r="C13" s="6" t="inlineStr">
        <is>
          <t>A11</t>
        </is>
      </c>
      <c r="D13" s="5" t="inlineStr">
        <is>
          <t>Araña («Qué pasa si cada entrada se mueve»)</t>
        </is>
      </c>
      <c r="E13" s="5" t="inlineStr">
        <is>
          <t>aurora-A.xlsx (copia de aurora-base.xlsx)</t>
        </is>
      </c>
      <c r="F13" s="5" t="inlineStr">
        <is>
          <t>Una línea por entrada:
- La del precio sube y la del coste variable baja.
- Al pasar el ratón se lee un valor.</t>
        </is>
      </c>
      <c r="G13" s="5" t="inlineStr">
        <is>
          <t>(Lo esperado está en los pasos.)</t>
        </is>
      </c>
      <c r="H13" s="5" t="inlineStr">
        <is>
          <t>Pendiente</t>
        </is>
      </c>
      <c r="I13" s="5" t="n"/>
      <c r="J13" s="5" t="n"/>
      <c r="K13" s="7" t="n"/>
    </row>
    <row r="14">
      <c r="A14" s="5" t="n">
        <v>13</v>
      </c>
      <c r="B14" s="5" t="inlineStr">
        <is>
          <t>02. A · Lo básico (hoja «Modelo»)</t>
        </is>
      </c>
      <c r="C14" s="6" t="inlineStr">
        <is>
          <t>A12</t>
        </is>
      </c>
      <c r="D14" s="5" t="inlineStr">
        <is>
          <t>Medidas de riesgo (nuevo)</t>
        </is>
      </c>
      <c r="E14" s="5" t="inlineStr">
        <is>
          <t>aurora-A.xlsx (copia de aurora-base.xlsx)</t>
        </is>
      </c>
      <c r="F14" s="5" t="inlineStr">
        <is>
          <t>Sección «Medidas de riesgo» con una tabla «Cola baja / Cola alta»: VaR 5 %, CVaR 5 %, semidesviación. Debajo, asimetría, curtosis y una frase sobre la forma («casi simétrica», «cola larga a la…»).
- En el VAN, el CVaR 5 % de la cola baja es más negativo que el VaR 5 % (es la media de lo que queda por debajo).</t>
        </is>
      </c>
      <c r="G14" s="5" t="inlineStr">
        <is>
          <t>(Lo esperado está en los pasos.)</t>
        </is>
      </c>
      <c r="H14" s="5" t="inlineStr">
        <is>
          <t>Pendiente</t>
        </is>
      </c>
      <c r="I14" s="5" t="n"/>
      <c r="J14" s="5" t="n"/>
      <c r="K14" s="7" t="n"/>
    </row>
    <row r="15">
      <c r="A15" s="5" t="n">
        <v>14</v>
      </c>
      <c r="B15" s="5" t="inlineStr">
        <is>
          <t>02. A · Lo básico (hoja «Modelo»)</t>
        </is>
      </c>
      <c r="C15" s="6" t="inlineStr">
        <is>
          <t>A13</t>
        </is>
      </c>
      <c r="D15" s="5" t="inlineStr">
        <is>
          <t>Qué tiene que pasar (nuevo)</t>
        </is>
      </c>
      <c r="E15" s="5" t="inlineStr">
        <is>
          <t>aurora-A.xlsx (copia de aurora-base.xlsx)</t>
        </is>
      </c>
      <c r="F15" s="5" t="inlineStr">
        <is>
          <t>Sección «Qué tiene que pasar», con el desplegable «Para que quede en su 10 % más bajo / más alto».
- Con «más bajo», el VAN aparece en su peor 10 % cuando el precio está bajo y el coste variable alto, y se dice cuánto se desplaza cada uno (en σ).
- Cambia a «más alto»: los sentidos se invierten.</t>
        </is>
      </c>
      <c r="G15" s="5" t="inlineStr">
        <is>
          <t>(Lo esperado está en los pasos.)</t>
        </is>
      </c>
      <c r="H15" s="5" t="inlineStr">
        <is>
          <t>Pendiente</t>
        </is>
      </c>
      <c r="I15" s="5" t="n"/>
      <c r="J15" s="5" t="n"/>
      <c r="K15" s="7" t="n"/>
    </row>
    <row r="16">
      <c r="A16" s="5" t="n">
        <v>15</v>
      </c>
      <c r="B16" s="5" t="inlineStr">
        <is>
          <t>02. A · Lo básico (hoja «Modelo»)</t>
        </is>
      </c>
      <c r="C16" s="6" t="inlineStr">
        <is>
          <t>A14</t>
        </is>
      </c>
      <c r="D16" s="5" t="inlineStr">
        <is>
          <t>Cómo se muestrearon las entradas</t>
        </is>
      </c>
      <c r="E16" s="5" t="inlineStr">
        <is>
          <t>aurora-A.xlsx (copia de aurora-base.xlsx)</t>
        </is>
      </c>
      <c r="F16" s="5" t="inlineStr">
        <is>
          <t>Sección con un desplegable de entradas.
- Para cada una, el histograma de lo que de verdad salió, con la línea de lo esperado encima.
- Tabla «Muestreado / Esperado», con medias casi iguales.</t>
        </is>
      </c>
      <c r="G16" s="5" t="inlineStr">
        <is>
          <t>(Lo esperado está en los pasos.)</t>
        </is>
      </c>
      <c r="H16" s="5" t="inlineStr">
        <is>
          <t>Pendiente</t>
        </is>
      </c>
      <c r="I16" s="5" t="n"/>
      <c r="J16" s="5" t="n"/>
      <c r="K16" s="7" t="n"/>
    </row>
    <row r="17">
      <c r="A17" s="5" t="n">
        <v>16</v>
      </c>
      <c r="B17" s="5" t="inlineStr">
        <is>
          <t>02. A · Lo básico (hoja «Modelo»)</t>
        </is>
      </c>
      <c r="C17" s="6" t="inlineStr">
        <is>
          <t>A15</t>
        </is>
      </c>
      <c r="D17" s="5" t="inlineStr">
        <is>
          <t>Precisión</t>
        </is>
      </c>
      <c r="E17" s="5" t="inlineStr">
        <is>
          <t>aurora-A.xlsx (copia de aurora-base.xlsx)</t>
        </is>
      </c>
      <c r="F17" s="5" t="inlineStr">
        <is>
          <t>Abre «Estadísticos y percentiles» del VAN (con ▸): al final, «✓ Iteraciones suficientes…» (o, si no bastan, cuántas harían falta).</t>
        </is>
      </c>
      <c r="G17" s="5" t="inlineStr">
        <is>
          <t>(Lo esperado está en los pasos.)</t>
        </is>
      </c>
      <c r="H17" s="5" t="inlineStr">
        <is>
          <t>Pendiente</t>
        </is>
      </c>
      <c r="I17" s="5" t="n"/>
      <c r="J17" s="5" t="n"/>
      <c r="K17" s="7" t="n"/>
    </row>
    <row r="18">
      <c r="A18" s="5" t="n">
        <v>17</v>
      </c>
      <c r="B18" s="5" t="inlineStr">
        <is>
          <t>02. A · Lo básico (hoja «Modelo»)</t>
        </is>
      </c>
      <c r="C18" s="6" t="inlineStr">
        <is>
          <t>A16</t>
        </is>
      </c>
      <c r="D18" s="5" t="inlineStr">
        <is>
          <t>TIR sin valor</t>
        </is>
      </c>
      <c r="E18" s="5" t="inlineStr">
        <is>
          <t>aurora-A.xlsx (copia de aurora-base.xlsx)</t>
        </is>
      </c>
      <c r="F18" s="5" t="inlineStr">
        <is>
          <t>En la TIR, un aviso con unas pocas iteraciones que «no dieron un número». Es correcto: en los escenarios muy malos la TIR no existe.</t>
        </is>
      </c>
      <c r="G18" s="5" t="inlineStr">
        <is>
          <t>(Lo esperado está en los pasos.)</t>
        </is>
      </c>
      <c r="H18" s="5" t="inlineStr">
        <is>
          <t>Pendiente</t>
        </is>
      </c>
      <c r="I18" s="5" t="n"/>
      <c r="J18" s="5" t="n"/>
      <c r="K18" s="7" t="n"/>
    </row>
    <row r="19">
      <c r="A19" s="5" t="n">
        <v>18</v>
      </c>
      <c r="B19" s="5" t="inlineStr">
        <is>
          <t>03. B · Configuración</t>
        </is>
      </c>
      <c r="C19" s="6" t="inlineStr">
        <is>
          <t>B1</t>
        </is>
      </c>
      <c r="D19" s="5" t="inlineStr">
        <is>
          <t>Núcleos automáticos</t>
        </is>
      </c>
      <c r="E19" s="5" t="inlineStr">
        <is>
          <t>aurora-A.xlsx (sigue)</t>
        </is>
      </c>
      <c r="F19" s="5" t="inlineStr">
        <is>
          <t>Con «Núcleos para calcular» en Automático, simula con 10.000 iteraciones y luego con 250.000 («Otra cantidad»).
- Esperado:
  - Con 10.000, «Cómo se calculó» dice un hilo y tarda poco.
  - Con 250.000, varios hilos.</t>
        </is>
      </c>
      <c r="G19" s="5" t="inlineStr">
        <is>
          <t>(Lo esperado está en los pasos.)</t>
        </is>
      </c>
      <c r="H19" s="5" t="inlineStr">
        <is>
          <t>Pendiente</t>
        </is>
      </c>
      <c r="I19" s="5" t="n"/>
      <c r="J19" s="5" t="n"/>
      <c r="K19" s="7" t="n"/>
    </row>
    <row r="20">
      <c r="A20" s="5" t="n">
        <v>19</v>
      </c>
      <c r="B20" s="5" t="inlineStr">
        <is>
          <t>03. B · Configuración</t>
        </is>
      </c>
      <c r="C20" s="6" t="inlineStr">
        <is>
          <t>B2</t>
        </is>
      </c>
      <c r="D20" s="5" t="inlineStr">
        <is>
          <t>Un núcleo</t>
        </is>
      </c>
      <c r="E20" s="5" t="inlineStr">
        <is>
          <t>aurora-A.xlsx (sigue)</t>
        </is>
      </c>
      <c r="F20" s="5" t="inlineStr">
        <is>
          <t>Elige 1 núcleo y simula.
- Esperado: «un hilo», y el panel no se congela mientras simula.
- Vuelve a Automático.</t>
        </is>
      </c>
      <c r="G20" s="5" t="inlineStr">
        <is>
          <t>(Lo esperado está en los pasos.)</t>
        </is>
      </c>
      <c r="H20" s="5" t="inlineStr">
        <is>
          <t>Pendiente</t>
        </is>
      </c>
      <c r="I20" s="5" t="n"/>
      <c r="J20" s="5" t="n"/>
      <c r="K20" s="7" t="n"/>
    </row>
    <row r="21">
      <c r="A21" s="5" t="n">
        <v>20</v>
      </c>
      <c r="B21" s="5" t="inlineStr">
        <is>
          <t>03. B · Configuración</t>
        </is>
      </c>
      <c r="C21" s="6" t="inlineStr">
        <is>
          <t>B3</t>
        </is>
      </c>
      <c r="D21" s="5" t="inlineStr">
        <is>
          <t>Hasta alcanzar la precisión</t>
        </is>
      </c>
      <c r="E21" s="5" t="inlineStr">
        <is>
          <t>aurora-A.xlsx (sigue)</t>
        </is>
      </c>
      <c r="F21" s="5" t="inlineStr">
        <is>
          <t>Configura así y simula:
- Iteraciones: 10 mil.
- Margen: ± 0,5 %.
- Marca «Simular hasta alcanzar la precisión».
- Tope: 1 M.</t>
        </is>
      </c>
      <c r="G21" s="5" t="inlineStr">
        <is>
          <t>Esperado, en «Cómo se calculó» (sección plegada al final de Resultados: ábrela con ▸): «Precisión buscada ±0,5 %: 10.000 → … iteraciones». Al acabar, desmarca la casilla y vuelve a 10.000 iteraciones.</t>
        </is>
      </c>
      <c r="H21" s="5" t="inlineStr">
        <is>
          <t>Pendiente</t>
        </is>
      </c>
      <c r="I21" s="5" t="n"/>
      <c r="J21" s="5" t="n"/>
      <c r="K21" s="7" t="n"/>
    </row>
    <row r="22">
      <c r="A22" s="5" t="n">
        <v>21</v>
      </c>
      <c r="B22" s="5" t="inlineStr">
        <is>
          <t>03. B · Configuración</t>
        </is>
      </c>
      <c r="C22" s="6" t="inlineStr">
        <is>
          <t>B4</t>
        </is>
      </c>
      <c r="D22" s="5" t="inlineStr">
        <is>
          <t>Botones de la cinta con el panel abierto</t>
        </is>
      </c>
      <c r="E22" s="5" t="inlineStr">
        <is>
          <t>aurora-A.xlsx (sigue)</t>
        </is>
      </c>
      <c r="F22" s="5" t="inlineStr">
        <is>
          <t>Con el panel abierto, pulsa en la cinta Resultados, Configuración, Diagnóstico y Modelo.
- Dime si cambia de pestaña cada vez.</t>
        </is>
      </c>
      <c r="G22" s="5" t="inlineStr">
        <is>
          <t>(Lo esperado está en los pasos.)</t>
        </is>
      </c>
      <c r="H22" s="5" t="inlineStr">
        <is>
          <t>Pendiente</t>
        </is>
      </c>
      <c r="I22" s="5" t="n"/>
      <c r="J22" s="5" t="n"/>
      <c r="K22" s="7" t="n"/>
    </row>
    <row r="23">
      <c r="A23" s="5" t="n">
        <v>22</v>
      </c>
      <c r="B23" s="5" t="inlineStr">
        <is>
          <t>04. C · Proyecto, informe PDF y hoja volcada</t>
        </is>
      </c>
      <c r="C23" s="6" t="inlineStr">
        <is>
          <t>C1</t>
        </is>
      </c>
      <c r="D23" s="5" t="inlineStr">
        <is>
          <t>Proyecto</t>
        </is>
      </c>
      <c r="E23" s="5" t="inlineStr">
        <is>
          <t>aurora-A.xlsx (sigue)</t>
        </is>
      </c>
      <c r="F23" s="5" t="inlineStr">
        <is>
          <t>En ⚙ → Proyecto, escribe:
- Título: «Proyecto Aurora — evaluación a cinco años».
- Una descripción de dos líneas.</t>
        </is>
      </c>
      <c r="G23" s="5" t="inlineStr">
        <is>
          <t>(Lo esperado está en los pasos.)</t>
        </is>
      </c>
      <c r="H23" s="5" t="inlineStr">
        <is>
          <t>Pendiente</t>
        </is>
      </c>
      <c r="I23" s="5" t="n"/>
      <c r="J23" s="5" t="n"/>
      <c r="K23" s="7" t="n"/>
    </row>
    <row r="24">
      <c r="A24" s="5" t="n">
        <v>23</v>
      </c>
      <c r="B24" s="5" t="inlineStr">
        <is>
          <t>04. C · Proyecto, informe PDF y hoja volcada</t>
        </is>
      </c>
      <c r="C24" s="6" t="inlineStr">
        <is>
          <t>C2</t>
        </is>
      </c>
      <c r="D24" s="5" t="inlineStr">
        <is>
          <t>Informe PDF</t>
        </is>
      </c>
      <c r="E24" s="5" t="inlineStr">
        <is>
          <t>aurora-A.xlsx (sigue)</t>
        </is>
      </c>
      <c r="F24" s="5" t="inlineStr">
        <is>
          <t>Simula y pulsa Informe PDF; se abre el navegador. Pulsa «Imprimir o guardar como PDF».
- Esperado:
  - Empieza con una portada con tu título y tu descripción. (Si en ⚙ → «Plantilla del informe PDF» escribiste otro Título, sale ese: déjalo vacío para esta prueba.)
  - Cada salida tiene su párrafo en palabras.
  - Las barras del tornado salen.
- Mándame el PDF.</t>
        </is>
      </c>
      <c r="G24" s="5" t="inlineStr">
        <is>
          <t>(Lo esperado está en los pasos.)</t>
        </is>
      </c>
      <c r="H24" s="5" t="inlineStr">
        <is>
          <t>Pendiente</t>
        </is>
      </c>
      <c r="I24" s="5" t="n"/>
      <c r="J24" s="5" t="n"/>
      <c r="K24" s="7" t="n"/>
    </row>
    <row r="25">
      <c r="A25" s="5" t="n">
        <v>24</v>
      </c>
      <c r="B25" s="5" t="inlineStr">
        <is>
          <t>04. C · Proyecto, informe PDF y hoja volcada</t>
        </is>
      </c>
      <c r="C25" s="6" t="inlineStr">
        <is>
          <t>C3</t>
        </is>
      </c>
      <c r="D25" s="5" t="inlineStr">
        <is>
          <t>Hoja volcada (rehecha)</t>
        </is>
      </c>
      <c r="E25" s="5" t="inlineStr">
        <is>
          <t>aurora-A.xlsx (sigue)</t>
        </is>
      </c>
      <c r="F25" s="5" t="inlineStr">
        <is>
          <t>Pulsa Volcar a una hoja.
- Hoja «Riesgo Monte Carlo»:
  - Arriba, tu título.
  - Bloques con cabecera de color: CÓMO SE CALCULÓ, RESUMEN DE LAS ENTRADAS (distribución, media, p5–p95, puesto en el tornado) y RESUMEN DE LAS SALIDAS.
- Cada salida tiene:
  - Estadísticos.
  - Medidas de riesgo.
  - «Qué la mueve».
  - «Para quedar en su 10 %…».
- Los importes llevan el mismo formato que en la hoja «Modelo» (€, %).
- Cuatro gráficos por salida, sin taparse entre sí ni tapar las tablas:
  - A la derecha, curva acumulada e histograma.
  - Más a la derecha, tornado y araña.
Los datos de los gráficos van más a la derecha todavía (desde la columna Z).
- Captura de la hoja, por favor.</t>
        </is>
      </c>
      <c r="G25" s="5" t="inlineStr">
        <is>
          <t>(Lo esperado está en los pasos.)</t>
        </is>
      </c>
      <c r="H25" s="5" t="inlineStr">
        <is>
          <t>Pendiente</t>
        </is>
      </c>
      <c r="I25" s="5" t="n"/>
      <c r="J25" s="5" t="n"/>
      <c r="K25" s="7" t="n"/>
    </row>
    <row r="26">
      <c r="A26" s="5" t="n">
        <v>25</v>
      </c>
      <c r="B26" s="5" t="inlineStr">
        <is>
          <t>04. C · Proyecto, informe PDF y hoja volcada</t>
        </is>
      </c>
      <c r="C26" s="6" t="inlineStr">
        <is>
          <t>C4</t>
        </is>
      </c>
      <c r="D26" s="5" t="inlineStr">
        <is>
          <t>Cerrar y reabrir</t>
        </is>
      </c>
      <c r="E26" s="5" t="inlineStr">
        <is>
          <t>aurora-A.xlsx (sigue)</t>
        </is>
      </c>
      <c r="F26" s="5" t="inlineStr">
        <is>
          <t>Guarda (Ctrl+S), cierra el libro y ábrelo de nuevo (tras npm start). Abre el panel.
- Siguen ahí:
  - El modelo.
  - Los resultados, con la nota «Resultados guardados en el libro el…».
  - El título del proyecto.
  - El umbral del VAN.</t>
        </is>
      </c>
      <c r="G26" s="5" t="inlineStr">
        <is>
          <t>(Lo esperado está en los pasos.)</t>
        </is>
      </c>
      <c r="H26" s="5" t="inlineStr">
        <is>
          <t>Pendiente</t>
        </is>
      </c>
      <c r="I26" s="5" t="n"/>
      <c r="J26" s="5" t="n"/>
      <c r="K26" s="7" t="n"/>
    </row>
    <row r="27">
      <c r="A27" s="5" t="n">
        <v>26</v>
      </c>
      <c r="B27" s="5" t="inlineStr">
        <is>
          <t>04. C · Proyecto, informe PDF y hoja volcada</t>
        </is>
      </c>
      <c r="C27" s="6" t="inlineStr">
        <is>
          <t>C5</t>
        </is>
      </c>
      <c r="D27" s="5" t="inlineStr">
        <is>
          <t>Iteraciones a una hoja</t>
        </is>
      </c>
      <c r="E27" s="5" t="inlineStr">
        <is>
          <t>aurora-A.xlsx (sigue)</t>
        </is>
      </c>
      <c r="F27" s="5" t="inlineStr">
        <is>
          <t>(C3 del plan, nuevo). Simula la demo y pulsa Iteraciones a una hoja (arriba en Resultados).
- Esperado: una hoja nueva «Iteraciones» con una fila por iteración (10.000 con los ajustes de la demo): la columna *Iteración*, una por cada entrada y una por cada salida, con su nombre y, debajo, su celda. Las dos primeras filas quedan fijas al desplazarte.
- Las entradas de texto salen como texto («Norte»), las fechas como fechas, y una iteración sin número, en blanco.
- Comprueba una fila a mano: con los valores de las entradas de esa fila, la salida da lo mismo que calcula tu modelo.
- Tras cerrar y reabrir el libro (resultados restaurados), el botón no aparece: las iteraciones solo viven en memoria. Vuelve a simular.</t>
        </is>
      </c>
      <c r="G27" s="5" t="inlineStr">
        <is>
          <t>(Lo esperado está en los pasos.)</t>
        </is>
      </c>
      <c r="H27" s="5" t="inlineStr">
        <is>
          <t>Pendiente</t>
        </is>
      </c>
      <c r="I27" s="5" t="n"/>
      <c r="J27" s="5" t="n"/>
      <c r="K27" s="7" t="n"/>
    </row>
    <row r="28">
      <c r="A28" s="5" t="n">
        <v>27</v>
      </c>
      <c r="B28" s="5" t="inlineStr">
        <is>
          <t>04. C · Proyecto, informe PDF y hoja volcada</t>
        </is>
      </c>
      <c r="C28" s="6" t="inlineStr">
        <is>
          <t>C6</t>
        </is>
      </c>
      <c r="D28" s="5" t="inlineStr">
        <is>
          <t>Gráficas nuevas</t>
        </is>
      </c>
      <c r="E28" s="5" t="inlineStr">
        <is>
          <t>aurora-A.xlsx (sigue)</t>
        </is>
      </c>
      <c r="F28" s="5" t="inlineStr">
        <is>
          <t>(C4 del plan, nuevo). Marca como salidas, en este orden, los flujos de caja libres de los cinco años de la hoja «Modelo» (D28, E28, F28, G28 y H28) y simula.
- Dispersión con una entrada (sección plegable de cada salida): una nube de puntos; elige otra entrada en el desplegable. La entrada que más mueve la salida en el tornado da la nube más inclinada.
- Comparar salidas (arriba, bajo la tabla de salidas): caja y bigotes de cada salida en un eje común, las curvas acumuladas superpuestas con su leyenda de colores y, con tres o más, el abanico (mediana y bandas p25–p75 y p5–p95, en el orden en que marcaste las salidas).
- En el Informe PDF, al final, «Comparar salidas» con las mismas gráficas.</t>
        </is>
      </c>
      <c r="G28" s="5" t="inlineStr">
        <is>
          <t>(Lo esperado está en los pasos.)</t>
        </is>
      </c>
      <c r="H28" s="5" t="inlineStr">
        <is>
          <t>Pendiente</t>
        </is>
      </c>
      <c r="I28" s="5" t="n"/>
      <c r="J28" s="5" t="n"/>
      <c r="K28" s="7" t="n"/>
    </row>
    <row r="29">
      <c r="A29" s="5" t="n">
        <v>28</v>
      </c>
      <c r="B29" s="5" t="inlineStr">
        <is>
          <t>05. D · Escenarios</t>
        </is>
      </c>
      <c r="C29" s="6" t="inlineStr">
        <is>
          <t>D1</t>
        </is>
      </c>
      <c r="D29" s="5" t="inlineStr">
        <is>
          <t>Guardar dos</t>
        </is>
      </c>
      <c r="E29" s="5" t="inlineStr">
        <is>
          <t>aurora-A.xlsx (sigue)</t>
        </is>
      </c>
      <c r="F29" s="5" t="inlineStr">
        <is>
          <t>Simula y pulsa Guardar como escenario con el nombre «Escenario base». Abre la entrada C9 (costes fijos), sube el máximo a 600000, simula y guárdalo como «Costes altos».
- Esperado:
  - La lista de escenarios muestra los dos, con «Escenario base» marcado.
  - Cada salida tiene la tabla «Frente a «Escenario base»», la curva de Base punteada y la tabla «En todos los escenarios» con las dos filas.</t>
        </is>
      </c>
      <c r="G29" s="5" t="inlineStr">
        <is>
          <t>(Lo esperado está en los pasos.)</t>
        </is>
      </c>
      <c r="H29" s="5" t="inlineStr">
        <is>
          <t>Pendiente</t>
        </is>
      </c>
      <c r="I29" s="5" t="n"/>
      <c r="J29" s="5" t="n"/>
      <c r="K29" s="7" t="n"/>
    </row>
    <row r="30">
      <c r="A30" s="5" t="n">
        <v>29</v>
      </c>
      <c r="B30" s="5" t="inlineStr">
        <is>
          <t>05. D · Escenarios</t>
        </is>
      </c>
      <c r="C30" s="6" t="inlineStr">
        <is>
          <t>D2</t>
        </is>
      </c>
      <c r="D30" s="5" t="inlineStr">
        <is>
          <t>Cambiar y borrar</t>
        </is>
      </c>
      <c r="E30" s="5" t="inlineStr">
        <is>
          <t>aurora-A.xlsx (sigue)</t>
        </is>
      </c>
      <c r="F30" s="5" t="inlineStr">
        <is>
          <t>- Marca «Costes altos» y después «No comparar con ninguno»: la comparación cambia y luego desaparece.
- Borra uno con la ✕.</t>
        </is>
      </c>
      <c r="G30" s="5" t="inlineStr">
        <is>
          <t>(Lo esperado está en los pasos.)</t>
        </is>
      </c>
      <c r="H30" s="5" t="inlineStr">
        <is>
          <t>Pendiente</t>
        </is>
      </c>
      <c r="I30" s="5" t="n"/>
      <c r="J30" s="5" t="n"/>
      <c r="K30" s="7" t="n"/>
    </row>
    <row r="31">
      <c r="A31" s="5" t="n">
        <v>30</v>
      </c>
      <c r="B31" s="5" t="inlineStr">
        <is>
          <t>05. D · Escenarios</t>
        </is>
      </c>
      <c r="C31" s="6" t="inlineStr">
        <is>
          <t>D3</t>
        </is>
      </c>
      <c r="D31" s="5" t="inlineStr">
        <is>
          <t>Persisten</t>
        </is>
      </c>
      <c r="E31" s="5" t="inlineStr">
        <is>
          <t>aurora-A.xlsx (sigue)</t>
        </is>
      </c>
      <c r="F31" s="5" t="inlineStr">
        <is>
          <t>Guarda, cierra y reabre: los escenarios siguen ahí.
Al terminar, vuelve a poner el máximo de C9 en 530000.</t>
        </is>
      </c>
      <c r="G31" s="5" t="inlineStr">
        <is>
          <t>(Lo esperado está en los pasos.)</t>
        </is>
      </c>
      <c r="H31" s="5" t="inlineStr">
        <is>
          <t>Pendiente</t>
        </is>
      </c>
      <c r="I31" s="5" t="n"/>
      <c r="J31" s="5" t="n"/>
      <c r="K31" s="7" t="n"/>
    </row>
    <row r="32">
      <c r="A32" s="5" t="n">
        <v>31</v>
      </c>
      <c r="B32" s="5" t="inlineStr">
        <is>
          <t>05. E · Ajustar a datos</t>
        </is>
      </c>
      <c r="C32" s="6" t="inlineStr">
        <is>
          <t>E1</t>
        </is>
      </c>
      <c r="D32" s="5" t="inlineStr">
        <is>
          <t>En Modelo, abre la entrada C5 y pulsa Ajustar a datos históricos….</t>
        </is>
      </c>
      <c r="E32" s="5" t="inlineStr">
        <is>
          <t>aurora-A.xlsx (sigue)</t>
        </is>
      </c>
      <c r="F32" s="5" t="inlineStr">
        <is>
          <t>En Modelo, abre la entrada C5 y pulsa Ajustar a datos históricos…. Selecciona en la hoja «Pruebas» el rango K5:K44 y pulsa Leer de la selección.
- Esperado:
  - «40 datos de Pruebas!K5:K44».
  - Arriba, un diagnóstico de los datos en una frase: cola a la derecha, todos positivos…
  - La tabla, con las columnas AICc, BIC, A–D y CvM, ordenada por AICc.
  - Arriba, Lognormal o Gamma.</t>
        </is>
      </c>
      <c r="G32" s="5" t="inlineStr">
        <is>
          <t>(Lo esperado está en los pasos.)</t>
        </is>
      </c>
      <c r="H32" s="5" t="inlineStr">
        <is>
          <t>Pendiente</t>
        </is>
      </c>
      <c r="I32" s="5" t="n"/>
      <c r="J32" s="5" t="n"/>
      <c r="K32" s="7" t="n"/>
    </row>
    <row r="33">
      <c r="A33" s="5" t="n">
        <v>32</v>
      </c>
      <c r="B33" s="5" t="inlineStr">
        <is>
          <t>05. E · Ajustar a datos</t>
        </is>
      </c>
      <c r="C33" s="6" t="inlineStr">
        <is>
          <t>E2</t>
        </is>
      </c>
      <c r="D33" s="5" t="inlineStr">
        <is>
          <t>Histograma</t>
        </is>
      </c>
      <c r="E33" s="5" t="inlineStr">
        <is>
          <t>aurora-A.xlsx (sigue)</t>
        </is>
      </c>
      <c r="F33" s="5" t="inlineStr">
        <is>
          <t>Debajo de la tabla, el histograma de los 40 datos con la curva de la candidata elegida. Pulsa otra fila: la curva cambia.</t>
        </is>
      </c>
      <c r="G33" s="5" t="inlineStr">
        <is>
          <t>(Lo esperado está en los pasos.)</t>
        </is>
      </c>
      <c r="H33" s="5" t="inlineStr">
        <is>
          <t>Pendiente</t>
        </is>
      </c>
      <c r="I33" s="5" t="n"/>
      <c r="J33" s="5" t="n"/>
      <c r="K33" s="7" t="n"/>
    </row>
    <row r="34">
      <c r="A34" s="5" t="n">
        <v>33</v>
      </c>
      <c r="B34" s="5" t="inlineStr">
        <is>
          <t>05. E · Ajustar a datos</t>
        </is>
      </c>
      <c r="C34" s="6" t="inlineStr">
        <is>
          <t>E3</t>
        </is>
      </c>
      <c r="D34" s="5" t="inlineStr">
        <is>
          <t>Criterios</t>
        </is>
      </c>
      <c r="E34" s="5" t="inlineStr">
        <is>
          <t>aurora-A.xlsx (sigue)</t>
        </is>
      </c>
      <c r="F34" s="5" t="inlineStr">
        <is>
          <t>En «Ordenar por» prueba BIC, Anderson–Darling y Cramér–von Mises: el orden puede moverse un poco, y arriba sigue una distribución con cola a la derecha.</t>
        </is>
      </c>
      <c r="G34" s="5" t="inlineStr">
        <is>
          <t>(Lo esperado está en los pasos.)</t>
        </is>
      </c>
      <c r="H34" s="5" t="inlineStr">
        <is>
          <t>Pendiente</t>
        </is>
      </c>
      <c r="I34" s="5" t="n"/>
      <c r="J34" s="5" t="n"/>
      <c r="K34" s="7" t="n"/>
    </row>
    <row r="35">
      <c r="A35" s="5" t="n">
        <v>34</v>
      </c>
      <c r="B35" s="5" t="inlineStr">
        <is>
          <t>05. E · Ajustar a datos</t>
        </is>
      </c>
      <c r="C35" s="6" t="inlineStr">
        <is>
          <t>E4</t>
        </is>
      </c>
      <c r="D35" s="5" t="inlineStr">
        <is>
          <t>Empírica</t>
        </is>
      </c>
      <c r="E35" s="5" t="inlineStr">
        <is>
          <t>aurora-A.xlsx (sigue)</t>
        </is>
      </c>
      <c r="F35" s="5" t="inlineStr">
        <is>
          <t>Pulsa «Usar los datos tal cual (distribución empírica)».
- Esperado: C5 pasa a ser una discreta con los 40 valores, y la vista previa enseña barras.
- Vuelve a Ajustar… y pulsa Usar en la primera de la tabla. Déjala así o vuelve a Triangular 105 / 120 / 140; da igual para lo que sigue.</t>
        </is>
      </c>
      <c r="G35" s="5" t="inlineStr">
        <is>
          <t>(Lo esperado está en los pasos.)</t>
        </is>
      </c>
      <c r="H35" s="5" t="inlineStr">
        <is>
          <t>Pendiente</t>
        </is>
      </c>
      <c r="I35" s="5" t="n"/>
      <c r="J35" s="5" t="n"/>
      <c r="K35" s="7" t="n"/>
    </row>
    <row r="36">
      <c r="A36" s="5" t="n">
        <v>35</v>
      </c>
      <c r="B36" s="5" t="inlineStr">
        <is>
          <t>05. E · Ajustar a datos</t>
        </is>
      </c>
      <c r="C36" s="6" t="inlineStr">
        <is>
          <t>E5</t>
        </is>
      </c>
      <c r="D36" s="5" t="inlineStr">
        <is>
          <t>Ajuste orientado al riesgo</t>
        </is>
      </c>
      <c r="E36" s="5" t="inlineStr">
        <is>
          <t>aurora-A.xlsx (sigue)</t>
        </is>
      </c>
      <c r="F36" s="5" t="inlineStr">
        <is>
          <t>(I2, nuevo). Con los 40 precios otra vez en «Ajustar a datos»:
- En «Lo que más importa» elige *La cola alta*, y en «Ordenar por», *Error en los percentiles del objetivo*. La columna Perc. es ese error (en desviaciones típicas; cuanto menor, mejor).
- Debajo de la tabla, «Percentiles: datos y …»: p50, p80, p90, p95 y p99 de los datos frente a los de la elegida; en negrita los que se separan más de 0,25 σ. Pincha la Normal: en p95–p99 se queda corta (diferencia negativa en negrita).
- Pulsa «¿Cuánto fiarse de este ajuste? (bootstrap)»: en un momento sale una tabla con cada parámetro y cada percentil y su intervalo del 90 %. Con 40 datos el p99 tiene un intervalo ancho: es lo esperable.
- Conteos: pega 3 5 2 4 4 6 1 3 5 4 2 7 3 4 5 3 2 4 6 3. Aparecen Poisson y binomial marcadas «(discreta)», con una nota: su AICc no se compara con el de las continuas; en «Perc.» la binomial queda la primera.</t>
        </is>
      </c>
      <c r="G36" s="5" t="inlineStr">
        <is>
          <t>(Lo esperado está en los pasos.)</t>
        </is>
      </c>
      <c r="H36" s="5" t="inlineStr">
        <is>
          <t>Pendiente</t>
        </is>
      </c>
      <c r="I36" s="5" t="n"/>
      <c r="J36" s="5" t="n"/>
      <c r="K36" s="7" t="n"/>
    </row>
    <row r="37">
      <c r="A37" s="5" t="n">
        <v>36</v>
      </c>
      <c r="B37" s="5" t="inlineStr">
        <is>
          <t>06. K · Mismos números al repetir</t>
        </is>
      </c>
      <c r="C37" s="6" t="inlineStr">
        <is>
          <t>K1</t>
        </is>
      </c>
      <c r="D37" s="5" t="inlineStr">
        <is>
          <t>En aurora-A.xlsx, hoja «Modelo», con el modelo del bloque A, simula con 10.000 iteraciones</t>
        </is>
      </c>
      <c r="E37" s="5" t="inlineStr">
        <is>
          <t>aurora-A.xlsx (sigue)</t>
        </is>
      </c>
      <c r="F37" s="5" t="inlineStr">
        <is>
          <t>En aurora-A.xlsx, hoja «Modelo», con el modelo del bloque A, simula con 10.000 iteraciones y apunta la media del VAN.</t>
        </is>
      </c>
      <c r="G37" s="5" t="inlineStr">
        <is>
          <t>(Lo esperado está en los pasos.)</t>
        </is>
      </c>
      <c r="H37" s="5" t="inlineStr">
        <is>
          <t>Pendiente</t>
        </is>
      </c>
      <c r="I37" s="5" t="n"/>
      <c r="J37" s="5" t="n"/>
      <c r="K37" s="7" t="n"/>
    </row>
    <row r="38">
      <c r="A38" s="5" t="n">
        <v>37</v>
      </c>
      <c r="B38" s="5" t="inlineStr">
        <is>
          <t>06. K · Mismos números al repetir</t>
        </is>
      </c>
      <c r="C38" s="6" t="inlineStr">
        <is>
          <t>K2</t>
        </is>
      </c>
      <c r="D38" s="5" t="inlineStr">
        <is>
          <t>Quita la entrada C5 con la ✕ y vuelve a añadirla con la misma distribución (Triangular 105</t>
        </is>
      </c>
      <c r="E38" s="5" t="inlineStr">
        <is>
          <t>aurora-A.xlsx (sigue)</t>
        </is>
      </c>
      <c r="F38" s="5" t="inlineStr">
        <is>
          <t>Quita la entrada C5 con la ✕ y vuelve a añadirla con la misma distribución (Triangular 105 / 120 / 140). Simula.
- Esperado: la media del VAN es exactamente la misma que en K1.</t>
        </is>
      </c>
      <c r="G38" s="5" t="inlineStr">
        <is>
          <t>(Lo esperado está en los pasos.)</t>
        </is>
      </c>
      <c r="H38" s="5" t="inlineStr">
        <is>
          <t>Pendiente</t>
        </is>
      </c>
      <c r="I38" s="5" t="n"/>
      <c r="J38" s="5" t="n"/>
      <c r="K38" s="7" t="n"/>
    </row>
    <row r="39">
      <c r="A39" s="5" t="n">
        <v>38</v>
      </c>
      <c r="B39" s="5" t="inlineStr">
        <is>
          <t>06. K · Mismos números al repetir</t>
        </is>
      </c>
      <c r="C39" s="6" t="inlineStr">
        <is>
          <t>K3</t>
        </is>
      </c>
      <c r="D39" s="5" t="inlineStr">
        <is>
          <t>Con el motor compatible</t>
        </is>
      </c>
      <c r="E39" s="5" t="inlineStr">
        <is>
          <t>aurora-A.xlsx (sigue)</t>
        </is>
      </c>
      <c r="F39" s="5" t="inlineStr">
        <is>
          <t>En ⚙, motor Compatible y 1.000 iteraciones. Simula dos veces seguidas sin tocar nada.
- Esperado: las dos veces, los mismos números.
- Si en la ronda anterior el p95 te salió distinto, suele ser porque una distribución no era la misma: compruébalas antes.
- Vuelve a Automático.</t>
        </is>
      </c>
      <c r="G39" s="5" t="inlineStr">
        <is>
          <t>(Lo esperado está en los pasos.)</t>
        </is>
      </c>
      <c r="H39" s="5" t="inlineStr">
        <is>
          <t>Pendiente</t>
        </is>
      </c>
      <c r="I39" s="5" t="n"/>
      <c r="J39" s="5" t="n"/>
      <c r="K39" s="7" t="n"/>
    </row>
    <row r="40">
      <c r="A40" s="5" t="n">
        <v>39</v>
      </c>
      <c r="B40" s="5" t="inlineStr">
        <is>
          <t>07. N · Etapa 2 (runtime, cinta, explorador, funciones)</t>
        </is>
      </c>
      <c r="C40" s="6" t="inlineStr">
        <is>
          <t>N1</t>
        </is>
      </c>
      <c r="D40" s="5" t="inlineStr">
        <is>
          <t>Diagnóstico</t>
        </is>
      </c>
      <c r="E40" s="5" t="inlineStr">
        <is>
          <t>aurora-A.xlsx (sigue)</t>
        </is>
      </c>
      <c r="F40" s="5" t="inlineStr">
        <is>
          <t>Pestaña Diagnóstico: la línea «Runtime compartido» dice sí. Si dice «no», para aquí y dímelo con la versión de Excel.</t>
        </is>
      </c>
      <c r="G40" s="5" t="inlineStr">
        <is>
          <t>(Lo esperado está en los pasos.)</t>
        </is>
      </c>
      <c r="H40" s="5" t="inlineStr">
        <is>
          <t>Pendiente</t>
        </is>
      </c>
      <c r="I40" s="5" t="n"/>
      <c r="J40" s="5" t="n"/>
      <c r="K40" s="7" t="n"/>
    </row>
    <row r="41">
      <c r="A41" s="5" t="n">
        <v>40</v>
      </c>
      <c r="B41" s="5" t="inlineStr">
        <is>
          <t>07. N · Etapa 2 (runtime, cinta, explorador, funciones)</t>
        </is>
      </c>
      <c r="C41" s="6" t="inlineStr">
        <is>
          <t>N2</t>
        </is>
      </c>
      <c r="D41" s="5" t="inlineStr">
        <is>
          <t>La cinta sin recargar el panel</t>
        </is>
      </c>
      <c r="E41" s="5" t="inlineStr">
        <is>
          <t>aurora-A.xlsx (sigue)</t>
        </is>
      </c>
      <c r="F41" s="5" t="inlineStr">
        <is>
          <t>(era B4). Simula algo y, con el panel abierto, pulsa en la cinta Resultados, Configuración, Diagnóstico y Modelo.
- Esperado: cambia de pestaña sin ponerse en blanco y sin perder los resultados.
- Cierra el panel con la ✕ y pulsa Resultados en la cinta: se abre directamente en Resultados, con los resultados que había.</t>
        </is>
      </c>
      <c r="G41" s="5" t="inlineStr">
        <is>
          <t>(Lo esperado está en los pasos.)</t>
        </is>
      </c>
      <c r="H41" s="5" t="inlineStr">
        <is>
          <t>Pendiente</t>
        </is>
      </c>
      <c r="I41" s="5" t="n"/>
      <c r="J41" s="5" t="n"/>
      <c r="K41" s="7" t="n"/>
    </row>
    <row r="42">
      <c r="A42" s="5" t="n">
        <v>41</v>
      </c>
      <c r="B42" s="5" t="inlineStr">
        <is>
          <t>07. N · Etapa 2 (runtime, cinta, explorador, funciones)</t>
        </is>
      </c>
      <c r="C42" s="6" t="inlineStr">
        <is>
          <t>N3</t>
        </is>
      </c>
      <c r="D42" s="5" t="inlineStr">
        <is>
          <t>Resultados en la hoja al reabrir</t>
        </is>
      </c>
      <c r="E42" s="5" t="inlineStr">
        <is>
          <t>aurora-A.xlsx (sigue)</t>
        </is>
      </c>
      <c r="F42" s="5" t="inlineStr">
        <is>
          <t>(era el límite de F19). En la hoja «Pruebas», con las secciones 7 y 8 escritas (F12 y F16), simula C37. Guarda, cierra Excel, ejecuta npm start y abre el libro sin abrir el panel.
- Esperado: C40–C43 muestran sus números (el complemento arranca solo al calcular las funciones y lee los resultados guardados en el libro). Si salen #N/D un momento, deben pasar a números en uno o dos segundos.</t>
        </is>
      </c>
      <c r="G42" s="5" t="inlineStr">
        <is>
          <t>(Lo esperado está en los pasos.)</t>
        </is>
      </c>
      <c r="H42" s="5" t="inlineStr">
        <is>
          <t>Pendiente</t>
        </is>
      </c>
      <c r="I42" s="5" t="n"/>
      <c r="J42" s="5" t="n"/>
      <c r="K42" s="7" t="n"/>
    </row>
    <row r="43">
      <c r="A43" s="5" t="n">
        <v>42</v>
      </c>
      <c r="B43" s="5" t="inlineStr">
        <is>
          <t>07. N · Etapa 2 (runtime, cinta, explorador, funciones)</t>
        </is>
      </c>
      <c r="C43" s="6" t="inlineStr">
        <is>
          <t>N4</t>
        </is>
      </c>
      <c r="D43" s="5" t="inlineStr">
        <is>
          <t>Modo compatible más rápido</t>
        </is>
      </c>
      <c r="E43" s="5" t="inlineStr">
        <is>
          <t>aurora-A.xlsx (sigue)</t>
        </is>
      </c>
      <c r="F43" s="5" t="inlineStr">
        <is>
          <t>(era H2). Repite H1 con y sin «Congelar la pantalla».
- Esperado: bastante más rápido que en tu ronda del 29/09 y con mucho menos parpadeo (ahora escribe 20 iteraciones por cada viaje a Excel). Apunta el tiempo que dice «Cómo se calculó» (al final de Resultados, ábrela con ▸) y el «Ritmo medido» (pestaña Modelo, sección «Con Excel en el bucle», botón «Medir el ritmo»).</t>
        </is>
      </c>
      <c r="G43" s="5" t="inlineStr">
        <is>
          <t>(Lo esperado está en los pasos.)</t>
        </is>
      </c>
      <c r="H43" s="5" t="inlineStr">
        <is>
          <t>Pendiente</t>
        </is>
      </c>
      <c r="I43" s="5" t="n"/>
      <c r="J43" s="5" t="n"/>
      <c r="K43" s="7" t="n"/>
    </row>
    <row r="44">
      <c r="A44" s="5" t="n">
        <v>43</v>
      </c>
      <c r="B44" s="5" t="inlineStr">
        <is>
          <t>07. N · Etapa 2 (runtime, cinta, explorador, funciones)</t>
        </is>
      </c>
      <c r="C44" s="6" t="inlineStr">
        <is>
          <t>N5</t>
        </is>
      </c>
      <c r="D44" s="5" t="inlineStr">
        <is>
          <t>Todo lo demás sigue igual</t>
        </is>
      </c>
      <c r="E44" s="5" t="inlineStr">
        <is>
          <t>aurora-A.xlsx (sigue)</t>
        </is>
      </c>
      <c r="F44" s="5" t="inlineStr">
        <is>
          <t>Repite rápido A6 (simular), F3 (RIESGO en «Pruebas»), T2 (ahora la zona sale en el tornado, en gris, y la lectura dice que es lo que más mueve los ingresos) y W1–W5 en la Web.</t>
        </is>
      </c>
      <c r="G44" s="5" t="inlineStr">
        <is>
          <t>(Lo esperado está en los pasos.)</t>
        </is>
      </c>
      <c r="H44" s="5" t="inlineStr">
        <is>
          <t>Pendiente</t>
        </is>
      </c>
      <c r="I44" s="5" t="n"/>
      <c r="J44" s="5" t="n"/>
      <c r="K44" s="7" t="n"/>
    </row>
    <row r="45">
      <c r="A45" s="5" t="n">
        <v>44</v>
      </c>
      <c r="B45" s="5" t="inlineStr">
        <is>
          <t>07. N · Etapa 2 (runtime, cinta, explorador, funciones)</t>
        </is>
      </c>
      <c r="C45" s="6" t="inlineStr">
        <is>
          <t>N6</t>
        </is>
      </c>
      <c r="D45" s="5" t="inlineStr">
        <is>
          <t>Modo del libro: valores fijos</t>
        </is>
      </c>
      <c r="E45" s="5" t="inlineStr">
        <is>
          <t>aurora-A.xlsx (sigue)</t>
        </is>
      </c>
      <c r="F45" s="5" t="inlineStr">
        <is>
          <t>(B2, nuevo). En la cinta hay un grupo «Modo del libro» con Valores fijos (desactivado: es el modo actual) y Aleatorio. En la hoja «Pruebas», con =RIESGO.TRIANGULAR(8;10;14) en C6:
- C6 vale 10,67 (la media).
- En ⚙ → Modo del libro → Valor fijo: Moda → C6 = 10; Mediana → 10,54; Percentil… 90 → 12,45. Vuelve a Media.</t>
        </is>
      </c>
      <c r="G45" s="5" t="inlineStr">
        <is>
          <t>(Lo esperado está en los pasos.)</t>
        </is>
      </c>
      <c r="H45" s="5" t="inlineStr">
        <is>
          <t>Pendiente</t>
        </is>
      </c>
      <c r="I45" s="5" t="n"/>
      <c r="J45" s="5" t="n"/>
      <c r="K45" s="7" t="n"/>
    </row>
    <row r="46">
      <c r="A46" s="5" t="n">
        <v>45</v>
      </c>
      <c r="B46" s="5" t="inlineStr">
        <is>
          <t>07. N · Etapa 2 (runtime, cinta, explorador, funciones)</t>
        </is>
      </c>
      <c r="C46" s="6" t="inlineStr">
        <is>
          <t>N7</t>
        </is>
      </c>
      <c r="D46" s="5" t="inlineStr">
        <is>
          <t>Modo aleatorio</t>
        </is>
      </c>
      <c r="E46" s="5" t="inlineStr">
        <is>
          <t>aurora-A.xlsx (sigue)</t>
        </is>
      </c>
      <c r="F46" s="5" t="inlineStr">
        <is>
          <t>Pulsa Aleatorio en la cinta.
- Esperado: el botón Aleatorio queda desactivado y Valores fijos activo; C5, C6 y C7 cambian a valores al azar. Pulsa F9 varias veces: cambian cada vez. En «Zonas», C12 (RIESGO.CATEGORIA) va saliendo Norte, Sur o Este. (C5, C6 y C12 ya las escribió «Rellenar las hojas de prueba».)
- Cuenta, a ojo, cuántos segundos tardan en cambiar tras F9 y apúntalo (en N6 notaste que tardan): con la cifra decido si vale la pena optimizarlo.
- Simula C7: la media sigue en torno a 10.670, como siempre (el modo no toca la simulación).
- Guarda, cierra y reabre: el libro sigue en Aleatorio. Vuelve a Valores fijos al terminar.</t>
        </is>
      </c>
      <c r="G46" s="5" t="inlineStr">
        <is>
          <t>(Lo esperado está en los pasos.)</t>
        </is>
      </c>
      <c r="H46" s="5" t="inlineStr">
        <is>
          <t>Pendiente</t>
        </is>
      </c>
      <c r="I46" s="5" t="n"/>
      <c r="J46" s="5" t="n"/>
      <c r="K46" s="7" t="n"/>
    </row>
    <row r="47">
      <c r="A47" s="5" t="n">
        <v>46</v>
      </c>
      <c r="B47" s="5" t="inlineStr">
        <is>
          <t>07. N · Etapa 2 (runtime, cinta, explorador, funciones)</t>
        </is>
      </c>
      <c r="C47" s="6" t="inlineStr">
        <is>
          <t>N8</t>
        </is>
      </c>
      <c r="D47" s="5" t="inlineStr">
        <is>
          <t>La cinta actúa sin abrir el panel</t>
        </is>
      </c>
      <c r="E47" s="5" t="inlineStr">
        <is>
          <t>aurora-A.xlsx (sigue)</t>
        </is>
      </c>
      <c r="F47" s="5" t="inlineStr">
        <is>
          <t>(B3, nuevo). Cierra el panel. En la cinta hay un grupo «Celdas» (Marcar entrada, Marcar salida y Quitar resaltado) y, en el grupo «Simulación», el botón Simular. En la hoja «Modelo», con un modelo vacío (quita todo antes desde el panel y ciérralo):
- Selecciona C5 y pulsa Marcar entrada: C5 se pinta de amarillo y el panel no se abre. Igual con C6.
- Selecciona C32 y pulsa Marcar salida: se pinta de verde.
- Pulsa otra vez Marcar salida con C32: ahora sí se abre el panel, con el aviso «Modelo!C32 ya está en el modelo».
- Pulsa Simular: se abre el panel, se ve el progreso y acaba en Resultados (C5 y C6 con la triangular que propone el panel).
- Quitar resaltado: las celdas vuelven a su relleno.
- Abre el panel: C5 y C6 están en Entradas con su nombre legible («Precio unitario»…) y C32 en Salidas.</t>
        </is>
      </c>
      <c r="G47" s="5" t="inlineStr">
        <is>
          <t>(Lo esperado está en los pasos.)</t>
        </is>
      </c>
      <c r="H47" s="5" t="inlineStr">
        <is>
          <t>Pendiente</t>
        </is>
      </c>
      <c r="I47" s="5" t="n"/>
      <c r="J47" s="5" t="n"/>
      <c r="K47" s="7" t="n"/>
    </row>
    <row r="48">
      <c r="A48" s="5" t="n">
        <v>47</v>
      </c>
      <c r="B48" s="5" t="inlineStr">
        <is>
          <t>07. N · Etapa 2 (runtime, cinta, explorador, funciones)</t>
        </is>
      </c>
      <c r="C48" s="6" t="inlineStr">
        <is>
          <t>N9</t>
        </is>
      </c>
      <c r="D48" s="5" t="inlineStr">
        <is>
          <t>RIESGO dentro de operaciones, con Excel en el bucle</t>
        </is>
      </c>
      <c r="E48" s="5" t="inlineStr">
        <is>
          <t>aurora-A.xlsx (sigue)</t>
        </is>
      </c>
      <c r="F48" s="5" t="inlineStr">
        <is>
          <t>(B1b, nuevo; era F15). En la hoja «Pruebas», con F12 escrito (C34–C36) y C37 como salida:
- Simula con el motor Automático y apunta la media y la desviación de C37.
- En ⚙, motor Compatible, las mismas iteraciones (pon 1.000 en los dos) y simula.
- Esperado: ya no sale el error de F15; simula (más despacio: con estas funciones va de una iteración por viaje a Excel) y da la misma media y la misma desviación que el motor rápido.
- Mientras simula, C35 y C36 conservan su fórmula (míralo en la barra de fórmulas): es la propia función la que devuelve el valor de cada iteración.
- Sigue sin admitirse, con un aviso claro: dos funciones RIESGO en la misma fórmula, o RIESGO.TRUNCAR con parámetros que cambian.
- Vuelve el motor a Automático.</t>
        </is>
      </c>
      <c r="G48" s="5" t="inlineStr">
        <is>
          <t>(Lo esperado está en los pasos.)</t>
        </is>
      </c>
      <c r="H48" s="5" t="inlineStr">
        <is>
          <t>Pendiente</t>
        </is>
      </c>
      <c r="I48" s="5" t="n"/>
      <c r="J48" s="5" t="n"/>
      <c r="K48" s="7" t="n"/>
    </row>
    <row r="49">
      <c r="A49" s="5" t="n">
        <v>48</v>
      </c>
      <c r="B49" s="5" t="inlineStr">
        <is>
          <t>07. N · Etapa 2 (runtime, cinta, explorador, funciones)</t>
        </is>
      </c>
      <c r="C49" s="6" t="inlineStr">
        <is>
          <t>N10</t>
        </is>
      </c>
      <c r="D49" s="5" t="inlineStr">
        <is>
          <t>Marcas y delimitadores en el histograma</t>
        </is>
      </c>
      <c r="E49" s="5" t="inlineStr">
        <is>
          <t>aurora-A.xlsx (sigue)</t>
        </is>
      </c>
      <c r="F49" s="5" t="inlineStr">
        <is>
          <t>(C10, nuevo). Simula la demo con la salida de beneficio y mira el histograma de Resultados:
- Hay una línea continua con «media» y, si no coincide con ella, otra discontinua con «mediana».
- Dos líneas oscuras en p5 y p95; encima dicen 5 % · 90 % · 5 % y las barras de fuera se ven grises.
- Arrastra la línea izquierda hacia la derecha: los porcentajes cambian al momento y suman 100 %. Escribe un valor en *Desde* o *Hasta* y pulsa Intro: la línea se mueve ahí (un valor fuera del gráfico se queda en el borde).
- En el informe PDF (C7), el histograma trae fijas la media, la mediana y las líneas de p5 y p95.</t>
        </is>
      </c>
      <c r="G49" s="5" t="inlineStr">
        <is>
          <t>(Lo esperado está en los pasos.)</t>
        </is>
      </c>
      <c r="H49" s="5" t="inlineStr">
        <is>
          <t>Pendiente</t>
        </is>
      </c>
      <c r="I49" s="5" t="n"/>
      <c r="J49" s="5" t="n"/>
      <c r="K49" s="7" t="n"/>
    </row>
    <row r="50">
      <c r="A50" s="5" t="n">
        <v>49</v>
      </c>
      <c r="B50" s="5" t="inlineStr">
        <is>
          <t>07. N · Etapa 2 (runtime, cinta, explorador, funciones)</t>
        </is>
      </c>
      <c r="C50" s="6" t="inlineStr">
        <is>
          <t>N11</t>
        </is>
      </c>
      <c r="D50" s="5" t="inlineStr">
        <is>
          <t>Resultados más fáciles de leer</t>
        </is>
      </c>
      <c r="E50" s="5" t="inlineStr">
        <is>
          <t>aurora-A.xlsx (sigue)</t>
        </is>
      </c>
      <c r="F50" s="5" t="inlineStr">
        <is>
          <t>(U2, nuevo; responde a T6). Tras simular la demo:
- Arriba: una línea «Rápido · 10.000 iteraciones · …», los avisos (si hay) y los botones Volcar a una hoja, Informe PDF e Iteraciones a una hoja. Bajo el nombre de la salida, cuatro cifras grandes (media, p5, p95, desviación), la lectura y el histograma.
- Debajo, secciones con ▸ que se abren con un clic; *Qué la mueve más* viene abierta. Abre *Estadísticos y percentiles*, cierra el panel y vuelve a abrirlo: sigue abierta.
- Dime si ahora se lee mejor y si cambiarías qué va abierto o a la vista.</t>
        </is>
      </c>
      <c r="G50" s="5" t="inlineStr">
        <is>
          <t>(Lo esperado está en los pasos.)</t>
        </is>
      </c>
      <c r="H50" s="5" t="inlineStr">
        <is>
          <t>Pendiente</t>
        </is>
      </c>
      <c r="I50" s="5" t="n"/>
      <c r="J50" s="5" t="n"/>
      <c r="K50" s="7" t="n"/>
    </row>
    <row r="51">
      <c r="A51" s="5" t="n">
        <v>50</v>
      </c>
      <c r="B51" s="5" t="inlineStr">
        <is>
          <t>07. N · Etapa 2 (runtime, cinta, explorador, funciones)</t>
        </is>
      </c>
      <c r="C51" s="6" t="inlineStr">
        <is>
          <t>N12</t>
        </is>
      </c>
      <c r="D51" s="5" t="inlineStr">
        <is>
          <t>Salida y correlación desde la fórmula</t>
        </is>
      </c>
      <c r="E51" s="5" t="inlineStr">
        <is>
          <t>aurora-A.xlsx (sigue)</t>
        </is>
      </c>
      <c r="F51" s="5" t="inlineStr">
        <is>
          <t>(resto de B6, nuevo): haz F20 y F21 (sección 9 de «Pruebas»).</t>
        </is>
      </c>
      <c r="G51" s="5" t="inlineStr">
        <is>
          <t>(Lo esperado está en los pasos.)</t>
        </is>
      </c>
      <c r="H51" s="5" t="inlineStr">
        <is>
          <t>Pendiente</t>
        </is>
      </c>
      <c r="I51" s="5" t="n"/>
      <c r="J51" s="5" t="n"/>
      <c r="K51" s="7" t="n"/>
    </row>
    <row r="52">
      <c r="A52" s="5" t="n">
        <v>51</v>
      </c>
      <c r="B52" s="5" t="inlineStr">
        <is>
          <t>07. N · Etapa 2 (runtime, cinta, explorador, funciones)</t>
        </is>
      </c>
      <c r="C52" s="6" t="inlineStr">
        <is>
          <t>N13</t>
        </is>
      </c>
      <c r="D52" s="5" t="inlineStr">
        <is>
          <t>Ajuste orientado al riesgo</t>
        </is>
      </c>
      <c r="E52" s="5" t="inlineStr">
        <is>
          <t>aurora-A.xlsx (sigue)</t>
        </is>
      </c>
      <c r="F52" s="5" t="inlineStr">
        <is>
          <t>(I2, nuevo): haz E5.</t>
        </is>
      </c>
      <c r="G52" s="5" t="inlineStr">
        <is>
          <t>(Lo esperado está en los pasos.)</t>
        </is>
      </c>
      <c r="H52" s="5" t="inlineStr">
        <is>
          <t>Pendiente</t>
        </is>
      </c>
      <c r="I52" s="5" t="n"/>
      <c r="J52" s="5" t="n"/>
      <c r="K52" s="7" t="n"/>
    </row>
    <row r="53">
      <c r="A53" s="5" t="n">
        <v>52</v>
      </c>
      <c r="B53" s="5" t="inlineStr">
        <is>
          <t>07. N · Etapa 2 (runtime, cinta, explorador, funciones)</t>
        </is>
      </c>
      <c r="C53" s="6" t="inlineStr">
        <is>
          <t>N14</t>
        </is>
      </c>
      <c r="D53" s="5" t="inlineStr">
        <is>
          <t>Fechas</t>
        </is>
      </c>
      <c r="E53" s="5" t="inlineStr">
        <is>
          <t>aurora-A.xlsx (sigue)</t>
        </is>
      </c>
      <c r="F53" s="5" t="inlineStr">
        <is>
          <t>(T7 del plan, nuevo): haz T9.</t>
        </is>
      </c>
      <c r="G53" s="5" t="inlineStr">
        <is>
          <t>(Lo esperado está en los pasos.)</t>
        </is>
      </c>
      <c r="H53" s="5" t="inlineStr">
        <is>
          <t>Pendiente</t>
        </is>
      </c>
      <c r="I53" s="5" t="n"/>
      <c r="J53" s="5" t="n"/>
      <c r="K53" s="7" t="n"/>
    </row>
    <row r="54">
      <c r="A54" s="5" t="n">
        <v>53</v>
      </c>
      <c r="B54" s="5" t="inlineStr">
        <is>
          <t>07. N · Etapa 2 (runtime, cinta, explorador, funciones)</t>
        </is>
      </c>
      <c r="C54" s="6" t="inlineStr">
        <is>
          <t>N15</t>
        </is>
      </c>
      <c r="D54" s="5" t="inlineStr">
        <is>
          <t>Registro de riesgos</t>
        </is>
      </c>
      <c r="E54" s="5" t="inlineStr">
        <is>
          <t>aurora-A.xlsx (sigue)</t>
        </is>
      </c>
      <c r="F54" s="5" t="inlineStr">
        <is>
          <t>(T8 del plan, nuevo): haz T10.</t>
        </is>
      </c>
      <c r="G54" s="5" t="inlineStr">
        <is>
          <t>(Lo esperado está en los pasos.)</t>
        </is>
      </c>
      <c r="H54" s="5" t="inlineStr">
        <is>
          <t>Pendiente</t>
        </is>
      </c>
      <c r="I54" s="5" t="n"/>
      <c r="J54" s="5" t="n"/>
      <c r="K54" s="7" t="n"/>
    </row>
    <row r="55">
      <c r="A55" s="5" t="n">
        <v>54</v>
      </c>
      <c r="B55" s="5" t="inlineStr">
        <is>
          <t>07. N · Etapa 2 (runtime, cinta, explorador, funciones)</t>
        </is>
      </c>
      <c r="C55" s="6" t="inlineStr">
        <is>
          <t>N16</t>
        </is>
      </c>
      <c r="D55" s="5" t="inlineStr">
        <is>
          <t>Opciones de decisión</t>
        </is>
      </c>
      <c r="E55" s="5" t="inlineStr">
        <is>
          <t>aurora-A.xlsx (sigue)</t>
        </is>
      </c>
      <c r="F55" s="5" t="inlineStr">
        <is>
          <t>(T9 del plan, nuevo): haz T11.</t>
        </is>
      </c>
      <c r="G55" s="5" t="inlineStr">
        <is>
          <t>(Lo esperado está en los pasos.)</t>
        </is>
      </c>
      <c r="H55" s="5" t="inlineStr">
        <is>
          <t>Pendiente</t>
        </is>
      </c>
      <c r="I55" s="5" t="n"/>
      <c r="J55" s="5" t="n"/>
      <c r="K55" s="7" t="n"/>
    </row>
    <row r="56">
      <c r="A56" s="5" t="n">
        <v>55</v>
      </c>
      <c r="B56" s="5" t="inlineStr">
        <is>
          <t>07. N · Etapa 2 (runtime, cinta, explorador, funciones)</t>
        </is>
      </c>
      <c r="C56" s="6" t="inlineStr">
        <is>
          <t>N17</t>
        </is>
      </c>
      <c r="D56" s="5" t="inlineStr">
        <is>
          <t>Iteraciones a una hoja</t>
        </is>
      </c>
      <c r="E56" s="5" t="inlineStr">
        <is>
          <t>aurora-A.xlsx (sigue)</t>
        </is>
      </c>
      <c r="F56" s="5" t="inlineStr">
        <is>
          <t>(C3 del plan, nuevo): haz C5.</t>
        </is>
      </c>
      <c r="G56" s="5" t="inlineStr">
        <is>
          <t>(Lo esperado está en los pasos.)</t>
        </is>
      </c>
      <c r="H56" s="5" t="inlineStr">
        <is>
          <t>Pendiente</t>
        </is>
      </c>
      <c r="I56" s="5" t="n"/>
      <c r="J56" s="5" t="n"/>
      <c r="K56" s="7" t="n"/>
    </row>
    <row r="57">
      <c r="A57" s="5" t="n">
        <v>56</v>
      </c>
      <c r="B57" s="5" t="inlineStr">
        <is>
          <t>07. N · Etapa 2 (runtime, cinta, explorador, funciones)</t>
        </is>
      </c>
      <c r="C57" s="6" t="inlineStr">
        <is>
          <t>N18</t>
        </is>
      </c>
      <c r="D57" s="5" t="inlineStr">
        <is>
          <t>Gráficas nuevas</t>
        </is>
      </c>
      <c r="E57" s="5" t="inlineStr">
        <is>
          <t>aurora-A.xlsx (sigue)</t>
        </is>
      </c>
      <c r="F57" s="5" t="inlineStr">
        <is>
          <t>(C4 del plan, nuevo): haz C6.</t>
        </is>
      </c>
      <c r="G57" s="5" t="inlineStr">
        <is>
          <t>(Lo esperado está en los pasos.)</t>
        </is>
      </c>
      <c r="H57" s="5" t="inlineStr">
        <is>
          <t>Pendiente</t>
        </is>
      </c>
      <c r="I57" s="5" t="n"/>
      <c r="J57" s="5" t="n"/>
      <c r="K57" s="7" t="n"/>
    </row>
    <row r="58">
      <c r="A58" s="5" t="n">
        <v>57</v>
      </c>
      <c r="B58" s="5" t="inlineStr">
        <is>
          <t>07. N · Etapa 2 (runtime, cinta, explorador, funciones)</t>
        </is>
      </c>
      <c r="C58" s="6" t="inlineStr">
        <is>
          <t>N19</t>
        </is>
      </c>
      <c r="D58" s="5" t="inlineStr">
        <is>
          <t>Distribuciones nuevas</t>
        </is>
      </c>
      <c r="E58" s="5" t="inlineStr">
        <is>
          <t>aurora-A.xlsx (sigue)</t>
        </is>
      </c>
      <c r="F58" s="5" t="inlineStr">
        <is>
          <t>(B5 del plan, nuevo): haz F22.</t>
        </is>
      </c>
      <c r="G58" s="5" t="inlineStr">
        <is>
          <t>(Lo esperado está en los pasos.)</t>
        </is>
      </c>
      <c r="H58" s="5" t="inlineStr">
        <is>
          <t>Pendiente</t>
        </is>
      </c>
      <c r="I58" s="5" t="n"/>
      <c r="J58" s="5" t="n"/>
      <c r="K58" s="7" t="n"/>
    </row>
    <row r="59">
      <c r="A59" s="5" t="n">
        <v>58</v>
      </c>
      <c r="B59" s="5" t="inlineStr">
        <is>
          <t>07. N · Etapa 2 (runtime, cinta, explorador, funciones)</t>
        </is>
      </c>
      <c r="C59" s="6" t="inlineStr">
        <is>
          <t>N20</t>
        </is>
      </c>
      <c r="D59" s="5" t="inlineStr">
        <is>
          <t>Cambio en la salida</t>
        </is>
      </c>
      <c r="E59" s="5" t="inlineStr">
        <is>
          <t>aurora-A.xlsx (sigue)</t>
        </is>
      </c>
      <c r="F59" s="5" t="inlineStr">
        <is>
          <t>(D4 del plan, nuevo). Simula la demo con el VAN como salida y abre «Qué la mueve más»: arriba hay dos botones, Correlación (el tornado de siempre) y Cambio en la salida. En el segundo, cada barra va de la media del VAN cuando esa entrada está en su 10 % más bajo a cuando está en su 10 % más alto, en euros; pasa el ratón para leer los dos valores. El orden puede no coincidir con el de correlación: este mide «cuánto dinero mueve». También sale en el informe PDF («Cuánto mueve cada entrada»).</t>
        </is>
      </c>
      <c r="G59" s="5" t="inlineStr">
        <is>
          <t>(Lo esperado está en los pasos.)</t>
        </is>
      </c>
      <c r="H59" s="5" t="inlineStr">
        <is>
          <t>Pendiente</t>
        </is>
      </c>
      <c r="I59" s="5" t="n"/>
      <c r="J59" s="5" t="n"/>
      <c r="K59" s="7" t="n"/>
    </row>
    <row r="60">
      <c r="A60" s="5" t="n">
        <v>59</v>
      </c>
      <c r="B60" s="5" t="inlineStr">
        <is>
          <t>07. N · Etapa 2 (runtime, cinta, explorador, funciones)</t>
        </is>
      </c>
      <c r="C60" s="6" t="inlineStr">
        <is>
          <t>N21</t>
        </is>
      </c>
      <c r="D60" s="5" t="inlineStr">
        <is>
          <t>Estrés</t>
        </is>
      </c>
      <c r="E60" s="5" t="inlineStr">
        <is>
          <t>aurora-A.xlsx (sigue)</t>
        </is>
      </c>
      <c r="F60" s="5" t="inlineStr">
        <is>
          <t>(D2 del plan, nuevo). En la misma salida, abre «Estrés: una entrada en un extremo»: elige una entrada (p. ej. el precio) y «su 10 % más bajo». La tabla compara la media, p5, p50 y p95 del VAN de siempre con los de esas iteraciones, y el cambio; con umbral, también su probabilidad. Es instantáneo (no vuelve a simular). Prueba con una entrada de texto (la zona, si la tienes marcada): se elige la categoría.</t>
        </is>
      </c>
      <c r="G60" s="5" t="inlineStr">
        <is>
          <t>(Lo esperado está en los pasos.)</t>
        </is>
      </c>
      <c r="H60" s="5" t="inlineStr">
        <is>
          <t>Pendiente</t>
        </is>
      </c>
      <c r="I60" s="5" t="n"/>
      <c r="J60" s="5" t="n"/>
      <c r="K60" s="7" t="n"/>
    </row>
    <row r="61">
      <c r="A61" s="5" t="n">
        <v>60</v>
      </c>
      <c r="B61" s="5" t="inlineStr">
        <is>
          <t>07. N · Etapa 2 (runtime, cinta, explorador, funciones)</t>
        </is>
      </c>
      <c r="C61" s="6" t="inlineStr">
        <is>
          <t>N22</t>
        </is>
      </c>
      <c r="D61" s="5" t="inlineStr">
        <is>
          <t>Una serie de salidas</t>
        </is>
      </c>
      <c r="E61" s="5" t="inlineStr">
        <is>
          <t>aurora-A.xlsx (sigue)</t>
        </is>
      </c>
      <c r="F61" s="5" t="inlineStr">
        <is>
          <t>(D3 del plan, nuevo). En «Modelo», selecciona D28:H28 (los flujos de caja libres de los años 1 a 5) y pulsa «Añadir la selección como salida»: se crean cinco salidas llamadas «Flujo de caja libre · Año 1» … «· Año 5». Simula: en «Comparar salidas», el abanico muestra la serie año a año. Una selección de varias filas y columnas avisa de que hay que elegir una fila o una columna.</t>
        </is>
      </c>
      <c r="G61" s="5" t="inlineStr">
        <is>
          <t>(Lo esperado está en los pasos.)</t>
        </is>
      </c>
      <c r="H61" s="5" t="inlineStr">
        <is>
          <t>Pendiente</t>
        </is>
      </c>
      <c r="I61" s="5" t="n"/>
      <c r="J61" s="5" t="n"/>
      <c r="K61" s="7" t="n"/>
    </row>
    <row r="62">
      <c r="A62" s="5" t="n">
        <v>61</v>
      </c>
      <c r="B62" s="5" t="inlineStr">
        <is>
          <t>07. N · Etapa 2 (runtime, cinta, explorador, funciones)</t>
        </is>
      </c>
      <c r="C62" s="6" t="inlineStr">
        <is>
          <t>N23</t>
        </is>
      </c>
      <c r="D62" s="5" t="inlineStr">
        <is>
          <t>Deshacer</t>
        </is>
      </c>
      <c r="E62" s="5" t="inlineStr">
        <is>
          <t>aurora-A.xlsx (sigue)</t>
        </is>
      </c>
      <c r="F62" s="5" t="inlineStr">
        <is>
          <t>(E3 del plan, nuevo). En «Modelo», añade dos entradas y cambia una distribución. Aparece ↶ Deshacer arriba: cada pulsación deshace un cambio (añadir, quitar, cambiar una distribución, un nombre escrito de seguido cuenta como uno). También con Ctrl+Z si no estás escribiendo en un campo. Hasta 30 cambios; se pierde al cerrar el panel.</t>
        </is>
      </c>
      <c r="G62" s="5" t="inlineStr">
        <is>
          <t>(Lo esperado está en los pasos.)</t>
        </is>
      </c>
      <c r="H62" s="5" t="inlineStr">
        <is>
          <t>Pendiente</t>
        </is>
      </c>
      <c r="I62" s="5" t="n"/>
      <c r="J62" s="5" t="n"/>
      <c r="K62" s="7" t="n"/>
    </row>
    <row r="63">
      <c r="A63" s="5" t="n">
        <v>62</v>
      </c>
      <c r="B63" s="5" t="inlineStr">
        <is>
          <t>07. N · Etapa 2 (runtime, cinta, explorador, funciones)</t>
        </is>
      </c>
      <c r="C63" s="6" t="inlineStr">
        <is>
          <t>N24</t>
        </is>
      </c>
      <c r="D63" s="5" t="inlineStr">
        <is>
          <t>Matriz de correlaciones y todas las entradas</t>
        </is>
      </c>
      <c r="E63" s="5" t="inlineStr">
        <is>
          <t>aurora-A.xlsx (sigue)</t>
        </is>
      </c>
      <c r="F63" s="5" t="inlineStr">
        <is>
          <t>(E1 y E2, nuevo). En «Modelo», bajo las entradas:
- Todas las entradas: una tabla con las del panel (pulsa una para abrirla) y, tras simular, las funciones RIESGO del libro, en gris.
- Matriz de correlaciones: escribe 0,8 entre dos entradas y pulsa Intro; en la ficha de ambas pone «1 correlación(es)». Si escribes algo imposible (0,8, 0,8 y −0,8 entre tres), un aviso con sus nombres explica por qué.</t>
        </is>
      </c>
      <c r="G63" s="5" t="inlineStr">
        <is>
          <t>(Lo esperado está en los pasos.)</t>
        </is>
      </c>
      <c r="H63" s="5" t="inlineStr">
        <is>
          <t>Pendiente</t>
        </is>
      </c>
      <c r="I63" s="5" t="n"/>
      <c r="J63" s="5" t="n"/>
      <c r="K63" s="7" t="n"/>
    </row>
    <row r="64">
      <c r="A64" s="5" t="n">
        <v>63</v>
      </c>
      <c r="B64" s="5" t="inlineStr">
        <is>
          <t>07. N · Etapa 2 (runtime, cinta, explorador, funciones)</t>
        </is>
      </c>
      <c r="C64" s="6" t="inlineStr">
        <is>
          <t>N25</t>
        </is>
      </c>
      <c r="D64" s="5" t="inlineStr">
        <is>
          <t>Ayuda</t>
        </is>
      </c>
      <c r="E64" s="5" t="inlineStr">
        <is>
          <t>aurora-A.xlsx (sigue)</t>
        </is>
      </c>
      <c r="F64" s="5" t="inlineStr">
        <is>
          <t>(E4, nuevo). En Resultados, «¿Qué es esto?» bajo las cifras y dentro de cada sección: explica en dos o tres frases qué es cada número y cada gráfico. Dime si falta en algún sitio o si algo no se entiende.</t>
        </is>
      </c>
      <c r="G64" s="5" t="inlineStr">
        <is>
          <t>(Lo esperado está en los pasos.)</t>
        </is>
      </c>
      <c r="H64" s="5" t="inlineStr">
        <is>
          <t>Pendiente</t>
        </is>
      </c>
      <c r="I64" s="5" t="n"/>
      <c r="J64" s="5" t="n"/>
      <c r="K64" s="7" t="n"/>
    </row>
    <row r="65">
      <c r="A65" s="5" t="n">
        <v>64</v>
      </c>
      <c r="B65" s="5" t="inlineStr">
        <is>
          <t>07. N · Etapa 2 (runtime, cinta, explorador, funciones)</t>
        </is>
      </c>
      <c r="C65" s="6" t="inlineStr">
        <is>
          <t>N26</t>
        </is>
      </c>
      <c r="D65" s="5" t="inlineStr">
        <is>
          <t>Avisos de coherencia y trazado</t>
        </is>
      </c>
      <c r="E65" s="5" t="inlineStr">
        <is>
          <t>aurora-A.xlsx (sigue)</t>
        </is>
      </c>
      <c r="F65" s="5" t="inlineStr">
        <is>
          <t>(H6 y H7 del plan, nuevo).
- Marca como entrada una celda que el modelo no usa (por ejemplo, una celda de la hoja «Pruebas» con un número) y simula la demo: arriba en Resultados, «La entrada … no afecta a ninguna salida».
- Pon a las unidades (C6) una Normal(20.000; 12.000) y simula: aviso de que da negativos alrededor del 5 % de las veces. Vuelve a dejarla como estaba.
- En «Cómo se calculó», «Por dónde llega cada entrada»: para cada entrada, el camino de celdas hasta cada salida (p. ej. C5 → … → C32).</t>
        </is>
      </c>
      <c r="G65" s="5" t="inlineStr">
        <is>
          <t>(Lo esperado está en los pasos.)</t>
        </is>
      </c>
      <c r="H65" s="5" t="inlineStr">
        <is>
          <t>Pendiente</t>
        </is>
      </c>
      <c r="I65" s="5" t="n"/>
      <c r="J65" s="5" t="n"/>
      <c r="K65" s="7" t="n"/>
    </row>
    <row r="66">
      <c r="A66" s="5" t="n">
        <v>65</v>
      </c>
      <c r="B66" s="5" t="inlineStr">
        <is>
          <t>07. N · Etapa 2 (runtime, cinta, explorador, funciones)</t>
        </is>
      </c>
      <c r="C66" s="6" t="inlineStr">
        <is>
          <t>N27</t>
        </is>
      </c>
      <c r="D66" s="5" t="inlineStr">
        <is>
          <t>Asistente y plantillas</t>
        </is>
      </c>
      <c r="E66" s="5" t="inlineStr">
        <is>
          <t>aurora-A.xlsx (sigue)</t>
        </is>
      </c>
      <c r="F66" s="5" t="inlineStr">
        <is>
          <t>(U1 del plan, nuevo). En un libro nuevo (sin modelo), abre el panel: la sección «Cómo empezar» explica los cuatro pasos; dentro, despliega «Ejemplos listos para simular» (cinco ejemplos). Pulsa Proyecto de inversión: aparece una hoja «Inversión» con las funciones RIESGO ya puestas. Pulsa Simular sin marcar nada: sale el VAN (media en torno a 30.000 €, con mucha dispersión). Prueba también Presupuesto de obra (coste total en torno a 323.000 €, con «Registro de riesgos») y Cartera de inversiones (valor al cabo de un año en torno a 105.500 €; cambia la correlación de B9 a 0 y el p5 mejora). Y Serie de precios (H5): cinco salidas «Precio · Año 1…5» (medias en torno a 103 → 116, cada vez más dispersas) y el tipo a 5 años en torno al 4,2 %; en «Comparar salidas», el abanico se abre con los años.</t>
        </is>
      </c>
      <c r="G66" s="5" t="inlineStr">
        <is>
          <t>(Lo esperado está en los pasos.)</t>
        </is>
      </c>
      <c r="H66" s="5" t="inlineStr">
        <is>
          <t>Pendiente</t>
        </is>
      </c>
      <c r="I66" s="5" t="n"/>
      <c r="J66" s="5" t="n"/>
      <c r="K66" s="7" t="n"/>
    </row>
    <row r="67">
      <c r="A67" s="5" t="n">
        <v>66</v>
      </c>
      <c r="B67" s="5" t="inlineStr">
        <is>
          <t>07. N · Etapa 2 (runtime, cinta, explorador, funciones)</t>
        </is>
      </c>
      <c r="C67" s="6" t="inlineStr">
        <is>
          <t>N28</t>
        </is>
      </c>
      <c r="D67" s="5" t="inlineStr">
        <is>
          <t>Buscar objetivo</t>
        </is>
      </c>
      <c r="E67" s="5" t="inlineStr">
        <is>
          <t>aurora-A.xlsx (sigue)</t>
        </is>
      </c>
      <c r="F67" s="5" t="inlineStr">
        <is>
          <t>(H4 del plan, nuevo). Simula la demo con el VAN y pon el umbral «por debajo de 0». Abre «Buscar objetivo»: celda C5 (el precio; «Leer de la selección»), desde 105 hasta 140, probabilidad 10 %, y Buscar. Tarda unas quince simulaciones y dice qué precio deja P(VAN &lt; 0) en el 10 %, con la lista de lo probado. Un rango que no contiene esa probabilidad lo dice. La celda se fija solo durante la búsqueda: el libro no cambia. Solo con el motor rápido.</t>
        </is>
      </c>
      <c r="G67" s="5" t="inlineStr">
        <is>
          <t>(Lo esperado está en los pasos.)</t>
        </is>
      </c>
      <c r="H67" s="5" t="inlineStr">
        <is>
          <t>Pendiente</t>
        </is>
      </c>
      <c r="I67" s="5" t="n"/>
      <c r="J67" s="5" t="n"/>
      <c r="K67" s="7" t="n"/>
    </row>
    <row r="68">
      <c r="A68" s="5" t="n">
        <v>67</v>
      </c>
      <c r="B68" s="5" t="inlineStr">
        <is>
          <t>07. N · Etapa 2 (runtime, cinta, explorador, funciones)</t>
        </is>
      </c>
      <c r="C68" s="6" t="inlineStr">
        <is>
          <t>N29</t>
        </is>
      </c>
      <c r="D68" s="5" t="inlineStr">
        <is>
          <t>DESREF</t>
        </is>
      </c>
      <c r="E68" s="5" t="inlineStr">
        <is>
          <t>aurora-A.xlsx (sigue)</t>
        </is>
      </c>
      <c r="F68" s="5" t="inlineStr">
        <is>
          <t>(F1 del plan, nuevo). En «Pruebas», escribe en una celda vacía =SUMA(DESREF(C5;0;0;3;1)) (suma C5:C7) y márcala como salida junto a lo demás: simula con el motor rápido (antes DESREF lo mandaba al compatible) y da lo mismo que =SUMA(C5:C7). Con un desplazamiento calculado (DESREF(C5;C32/1000;0)) sigue yendo al compatible.</t>
        </is>
      </c>
      <c r="G68" s="5" t="inlineStr">
        <is>
          <t>(Lo esperado está en los pasos.)</t>
        </is>
      </c>
      <c r="H68" s="5" t="inlineStr">
        <is>
          <t>Pendiente</t>
        </is>
      </c>
      <c r="I68" s="5" t="n"/>
      <c r="J68" s="5" t="n"/>
      <c r="K68" s="7" t="n"/>
    </row>
    <row r="69">
      <c r="A69" s="5" t="n">
        <v>68</v>
      </c>
      <c r="B69" s="5" t="inlineStr">
        <is>
          <t>07. N · Etapa 2 (runtime, cinta, explorador, funciones)</t>
        </is>
      </c>
      <c r="C69" s="6" t="inlineStr">
        <is>
          <t>N30</t>
        </is>
      </c>
      <c r="D69" s="5" t="inlineStr">
        <is>
          <t>Tu libro grande: cuánto tarda</t>
        </is>
      </c>
      <c r="E69" s="5" t="inlineStr">
        <is>
          <t>Tus propios libros</t>
        </is>
      </c>
      <c r="F69" s="5" t="inlineStr">
        <is>
          <t>(F2 del plan, nuevo). Con el libro de humedales (Humedales_v1_completo (100).xlsx, 132 hojas) abierto en Excel y el complemento cargado (npm start en la carpeta del proyecto):
1. Pestaña Diagnóstico → Analizar el libro. Apunta: hojas, fórmulas, viajes a Excel, tiempo, cobertura y las funciones sin soporte que liste.
2. Pestaña Modelo: marca como entradas tres o cuatro celdas con números de las que dependa un resultado importante (cualquier supuesto del modelo) y como salida ese resultado. Deja la distribución que propone el panel.
3. En ⚙, 10.000 iteraciones y motor Automático. Simular.
4. En Resultados → «Cómo se calculó», apunta: motor, tiempo total, Leer el libro (con hojas, fórmulas y viajes), Preparar y simular, celdas del modelo e hilos. Si sale «Por qué no pudo el motor rápido», copia los motivos.
5. Repite el paso 3 con 1.000 iteraciones (para separar lo fijo de lo que crece con las iteraciones).
6. Al terminar, quita las entradas y la salida del panel o no guardes el libro (el modelo se guarda dentro del archivo).
- Pásame esas cifras (o capturas). No hace falta que me envíes el libro: con esto sé dónde se va el tiempo (leer o calcular) y si hay que optimizar. Si prefieres que lo mida yo aquí, súbelo al repositorio en tests/fixtures/privado/ (dime antes si contiene datos que no deban quedar en GitHub).</t>
        </is>
      </c>
      <c r="G69" s="5" t="inlineStr">
        <is>
          <t>(Lo esperado va en cada paso numerado.)</t>
        </is>
      </c>
      <c r="H69" s="5" t="inlineStr">
        <is>
          <t>Pendiente</t>
        </is>
      </c>
      <c r="I69" s="5" t="n"/>
      <c r="J69" s="5" t="n"/>
      <c r="K69" s="7" t="n"/>
    </row>
    <row r="70">
      <c r="A70" s="5" t="n">
        <v>69</v>
      </c>
      <c r="B70" s="5" t="inlineStr">
        <is>
          <t>07. N · Etapa 2 (runtime, cinta, explorador, funciones)</t>
        </is>
      </c>
      <c r="C70" s="6" t="inlineStr">
        <is>
          <t>N31</t>
        </is>
      </c>
      <c r="D70" s="5" t="inlineStr">
        <is>
          <t>Qué funciones usan tus libros</t>
        </is>
      </c>
      <c r="E70" s="5" t="inlineStr">
        <is>
          <t>Tus propios libros</t>
        </is>
      </c>
      <c r="F70" s="5" t="inlineStr">
        <is>
          <t>(F1, LAMBDA; nuevo). En PowerShell, en la carpeta del proyecto:
` cd "$HOME\Documents\Proyectos Claude\riesgo-montecarlo-v2" npm run scan -- "RUTA\DEL\LIBRO.xlsx" `
(cambia RUTA\DEL\LIBRO.xlsx por la ruta de verdad, entre comillas; puedes poner varios libros seguidos). Hazlo con el de humedales y con los libros que pienses simular de verdad. Pásame el informe que sale en pantalla: dice qué funciones faltan (por ejemplo LAMBDA, DESREF con desplazamientos calculados o INDIRECTO) y así desarrollo solo lo que tus libros usan.</t>
        </is>
      </c>
      <c r="G70" s="5" t="inlineStr">
        <is>
          <t>(Lo esperado está en los pasos.)</t>
        </is>
      </c>
      <c r="H70" s="5" t="inlineStr">
        <is>
          <t>Pendiente</t>
        </is>
      </c>
      <c r="I70" s="5" t="n"/>
      <c r="J70" s="5" t="n"/>
      <c r="K70" s="7" t="n"/>
    </row>
    <row r="71">
      <c r="A71" s="5" t="n">
        <v>70</v>
      </c>
      <c r="B71" s="5" t="inlineStr">
        <is>
          <t>07. N · Etapa 2 (runtime, cinta, explorador, funciones)</t>
        </is>
      </c>
      <c r="C71" s="6" t="inlineStr">
        <is>
          <t>N32</t>
        </is>
      </c>
      <c r="D71" s="5" t="inlineStr">
        <is>
          <t>Binomial negativa, umbral de RIESGO.SALIDA y fechas en la tabla</t>
        </is>
      </c>
      <c r="E71" s="5" t="inlineStr">
        <is>
          <t>aurora-A.xlsx (sigue)</t>
        </is>
      </c>
      <c r="F71" s="5" t="inlineStr">
        <is>
          <t>(nuevo).
- Ajuste: en una hoja vacía escribe en A1:A20 estos conteos: 0 1 1 2 2 2 3 3 4 4 5 5 6 7 8 9 11 13 16 20 (uno por celda). Selecciónalos y ajusta.</t>
        </is>
      </c>
      <c r="G71" s="5" t="inlineStr">
        <is>
          <t>Esperado: aparece la binomial negativa (r ≈ 1,64; p ≈ 0,21), marcada como discreta, y es la primera por error general; la Poisson (λ = 6,1) queda muy por detrás.
- Umbral: tras F20 (C49 con RIESGO.SALIDA("Coste total"), sin marcarla en el panel), en Resultados elige «Coste total» y pon un umbral. Esperado: sale su probabilidad y no aparece el aviso de resultados desactualizados. Cierra y abre el panel: el umbral sigue ahí.
- Fechas en la tabla: tras T9 (C52 con fecha incierta), pestaña Modelo, «Todas las entradas»: la distribución de C52 se lee en fechas (y la desviación en días), no en números de serie como 46.388. Lo mismo en la hoja volcada.</t>
        </is>
      </c>
      <c r="H71" s="5" t="inlineStr">
        <is>
          <t>Pendiente</t>
        </is>
      </c>
      <c r="I71" s="5" t="n"/>
      <c r="J71" s="5" t="n"/>
      <c r="K71" s="7" t="n"/>
    </row>
    <row r="72">
      <c r="A72" s="5" t="n">
        <v>71</v>
      </c>
      <c r="B72" s="5" t="inlineStr">
        <is>
          <t>07. N · Etapa 2 (runtime, cinta, explorador, funciones)</t>
        </is>
      </c>
      <c r="C72" s="6" t="inlineStr">
        <is>
          <t>N33</t>
        </is>
      </c>
      <c r="D72" s="5" t="inlineStr">
        <is>
          <t>LAMBDA: Peng-Robinson</t>
        </is>
      </c>
      <c r="E72" s="5" t="inlineStr">
        <is>
          <t>Copia de tests\fixtures\fidelidad-lambda.xlsx</t>
        </is>
      </c>
      <c r="F72" s="5" t="inlineStr">
        <is>
          <t>(F1 del plan, nuevo). Necesita Excel 365 (LAMBDA no existe en Excel 2019 ni antes). Abre, desde la carpeta del proyecto, tests\fixtures\fidelidad-lambda.xlsx (en la carpeta del proyecto: tests\fixtures\fidelidad-lambda.xlsx). Si Excel pregunta por habilitar la edición, sí.
- Fórmulas → Administrador de nombres: 11 nombres. R_GAS (una constante), TC_CO2, PC_CO2, W_CO2 (celdas) y siete LAMBDA: PR_KAPPA, PR_ALFA, PR_A, PR_B, PR_P (la presión), PR_Z y FACTREC (un factorial recursivo, para ver que el motor lo manda al compatible).
- Hoja «Fidelidad»: la columna E es lo que calcula Excel y la F, lo que calculé en Python sin Excel. Tienen que coincidir en todas las filas con «Python: …» (L-013, la presión: 40,286). L-020 y L-021 deberían dar #¡VALOR! y L-022 #¡CALC!: anota lo que salga, sea lo que sea. Si alguna celda da #¿NOMBRE?, dímelo con captura: sería que Excel no reconoció la LAMBDA tal como la escribí en el archivo.
- Hoja «PengRobinson»: B11, B12 y B13 son la misma presión calculada con una LAMBDA con nombre, con una LAMBDA dentro de LET y con una LAMBDA invocada en la celda. Las tres, 40,286 (como la columna C). B14 (Z), 0,782; B15 (gas ideal), 51,55; B16, −21,8 %.
- Guarda el libro (Ctrl+G) tal cual y mándamelo: con él se activan las pruebas que comparan el motor con tu Excel.
- Simula (con el libro ya guardado, puedes seguir en él): escribe =RIESGO.NORMAL(310;5) en B8 y =RIESGO.TRIANGULAR(0,45;0,5;0,6) en B9. Marca B11, B12 y B13 como salidas y simula 10.000 iteraciones.</t>
        </is>
      </c>
      <c r="G72" s="5" t="inlineStr">
        <is>
          <t>Esperado:
  - «Cómo se calculó» dice motor Rápido (las LAMBDA ya no mandan al compatible).
  - Las tres salidas, iguales: media en torno a 39,4 bar, desviación 2,06, p5 ≈ 36,0 y p95 ≈ 42,7.
  - En «Qué la mueve más», B9 (el volumen) es la que más mueve la presión y con signo negativo (ρ ≈ −0,87: más volumen, menos presión); la temperatura, positiva y menor (ρ ≈ 0,47).
  - Si luego quieres dejar el libro como estaba para mandármelo otra vez, no hace falta: con el que guardaste antes de simular me basta.</t>
        </is>
      </c>
      <c r="H72" s="5" t="inlineStr">
        <is>
          <t>Pendiente</t>
        </is>
      </c>
      <c r="I72" s="5" t="n"/>
      <c r="J72" s="5" t="n"/>
      <c r="K72" s="7" t="n"/>
    </row>
    <row r="73">
      <c r="A73" s="5" t="n">
        <v>72</v>
      </c>
      <c r="B73" s="5" t="inlineStr">
        <is>
          <t>07. N · Etapa 2 (runtime, cinta, explorador, funciones)</t>
        </is>
      </c>
      <c r="C73" s="6" t="inlineStr">
        <is>
          <t>N34</t>
        </is>
      </c>
      <c r="D73" s="5" t="inlineStr">
        <is>
          <t>La cinta nueva</t>
        </is>
      </c>
      <c r="E73" s="5" t="inlineStr">
        <is>
          <t>aurora-A.xlsx (sigue)</t>
        </is>
      </c>
      <c r="F73" s="5" t="inlineStr">
        <is>
          <t>(U3.2, nuevo). El manifiesto cambió: cierra Excel, npm run stop, npm start; si la pestaña Riesgo sigue como antes, borra la caché (%LOCALAPPDATA%\Microsoft\Office\16.0\Wef\) y repite.
- Esperado, de izquierda a derecha: Panel (Modelo, Resultados, Configuración) · Celdas (Marcar entrada, Marcar salida, Quitar resaltado) · Simulación (Iteraciones ▾, Simular, Detener) · Modo del libro · Análisis (Ver distribución, Entradas y salidas, Ajustar a datos, Escenarios) · Cronograma (Crear libro de cronograma, Revisar calidad, Simular cronograma, Gantt) · Informes (Volcar a una hoja, Informe PDF) · Ayuda (Ayuda, Ejemplos ▾ con cinco ejemplos, Diagnóstico).
- Iteraciones ▾: elige 5.000 y simula: «Cómo se calculó» dice 5.000. Vuelve a abrir el menú: 5.000 aparece desactivado (si no se desactiva, apúntalo: es lo que depende de tu versión de Excel). «Otra cantidad…» abre Configuración.
- Ejemplos ▾ → Presupuesto de obra: se crea la hoja con el modelo, sin abrir el panel.
- Ayuda: se abre una ventana con «Cómo empezar», «La cinta» y «Qué significa cada cosa».
- Volcar a una hoja e Informe PDF desde la cinta hacen lo mismo que los botones de Resultados.
- Escenarios abre Resultados y baja hasta la sección Escenarios.</t>
        </is>
      </c>
      <c r="G73" s="5" t="inlineStr">
        <is>
          <t>(Lo esperado está en los pasos.)</t>
        </is>
      </c>
      <c r="H73" s="5" t="inlineStr">
        <is>
          <t>Pendiente</t>
        </is>
      </c>
      <c r="I73" s="5" t="n"/>
      <c r="J73" s="5" t="n"/>
      <c r="K73" s="7" t="n"/>
    </row>
    <row r="74">
      <c r="A74" s="5" t="n">
        <v>73</v>
      </c>
      <c r="B74" s="5" t="inlineStr">
        <is>
          <t>07. N · Etapa 2 (runtime, cinta, explorador, funciones)</t>
        </is>
      </c>
      <c r="C74" s="6" t="inlineStr">
        <is>
          <t>N35</t>
        </is>
      </c>
      <c r="D74" s="5" t="inlineStr">
        <is>
          <t>Explorador de distribución</t>
        </is>
      </c>
      <c r="E74" s="5" t="inlineStr">
        <is>
          <t>aurora-A.xlsx (sigue)</t>
        </is>
      </c>
      <c r="F74" s="5" t="inlineStr">
        <is>
          <t>(U3.1, nuevo). Simula la demo (hoja «Modelo», con su salida). Selecciona la celda de la salida y pulsa Ver distribución.
- Esperado: una ventana aparte con el histograma a la izquierda y las estadísticas a la derecha (media, desviación, mínimo, máximo, p1 a p99, VaR, CVaR, asimetría, curtosis). Las mismas cifras que en Resultados.
- Arrastra los dos delimitadores: los porcentajes de arriba cambian (por debajo, entre y por encima). También se pueden escribir en «Desde» y «Hasta». «Acumulada» cambia a la curva.
- Sin cerrar la ventana, selecciona en la hoja una entrada (celda amarilla): la ventana pasa a esa entrada (dice «Entrada» y su distribución, con la curva teórica en rojo encima). Selecciona una celda cualquiera: aparece arriba el aviso de que no es una entrada ni una salida, y se queda lo anterior.
- Vuelve a simular con la ventana abierta: se actualiza sola.
- Apunta si la ventana se puede mover y cambiar de tamaño, y si en la Web sale igual (W).</t>
        </is>
      </c>
      <c r="G74" s="5" t="inlineStr">
        <is>
          <t>(Lo esperado está en los pasos.)</t>
        </is>
      </c>
      <c r="H74" s="5" t="inlineStr">
        <is>
          <t>Pendiente</t>
        </is>
      </c>
      <c r="I74" s="5" t="n"/>
      <c r="J74" s="5" t="n"/>
      <c r="K74" s="7" t="n"/>
    </row>
    <row r="75">
      <c r="A75" s="5" t="n">
        <v>74</v>
      </c>
      <c r="B75" s="5" t="inlineStr">
        <is>
          <t>07. N · Etapa 2 (runtime, cinta, explorador, funciones)</t>
        </is>
      </c>
      <c r="C75" s="6" t="inlineStr">
        <is>
          <t>N36</t>
        </is>
      </c>
      <c r="D75" s="5" t="inlineStr">
        <is>
          <t>Ajustar a datos desde la cinta</t>
        </is>
      </c>
      <c r="E75" s="5" t="inlineStr">
        <is>
          <t>aurora-A.xlsx (sigue)</t>
        </is>
      </c>
      <c r="F75" s="5" t="inlineStr">
        <is>
          <t>(U3.2, nuevo). En «Pruebas», selecciona K5:K44 (los precios históricos) y pulsa Ajustar a datos.
- Esperado: el panel se abre en Modelo con «Ajustar a datos» arriba, ya con los 40 datos leídos y las distribuciones propuestas.
- Selecciona una celda vacía (por ejemplo C70) y pulsa Usar en la primera: C70 se marca como entrada con esa distribución y se abre su detalle.</t>
        </is>
      </c>
      <c r="G75" s="5" t="inlineStr">
        <is>
          <t>(Lo esperado está en los pasos.)</t>
        </is>
      </c>
      <c r="H75" s="5" t="inlineStr">
        <is>
          <t>Pendiente</t>
        </is>
      </c>
      <c r="I75" s="5" t="n"/>
      <c r="J75" s="5" t="n"/>
      <c r="K75" s="7" t="n"/>
    </row>
    <row r="76">
      <c r="A76" s="5" t="n">
        <v>75</v>
      </c>
      <c r="B76" s="5" t="inlineStr">
        <is>
          <t>07. N · Etapa 2 (runtime, cinta, explorador, funciones)</t>
        </is>
      </c>
      <c r="C76" s="6" t="inlineStr">
        <is>
          <t>N37</t>
        </is>
      </c>
      <c r="D76" s="5" t="inlineStr">
        <is>
          <t>Catálogo de distribuciones</t>
        </is>
      </c>
      <c r="E76" s="5" t="inlineStr">
        <is>
          <t>aurora-A.xlsx (sigue)</t>
        </is>
      </c>
      <c r="F76" s="5" t="inlineStr">
        <is>
          <t>(U3.3, nuevo). Abre una entrada del panel (▸) y pulsa «¿Cuál elegir? Ver el catálogo».
- Esperado: las distribuciones en fichas, cada una con su forma pequeña y una línea de cuándo usarla, en seis grupos («Sé el mínimo, el más probable y el máximo», «Varía alrededor de un valor central»…). La actual, marcada.
- Pulsa Lognormal: el catálogo se cierra, la entrada pasa a lognormal y su vista previa cambia. Dime si los grupos te sirven para elegir o si cambiarías alguno.</t>
        </is>
      </c>
      <c r="G76" s="5" t="inlineStr">
        <is>
          <t>(Lo esperado está en los pasos.)</t>
        </is>
      </c>
      <c r="H76" s="5" t="inlineStr">
        <is>
          <t>Pendiente</t>
        </is>
      </c>
      <c r="I76" s="5" t="n"/>
      <c r="J76" s="5" t="n"/>
      <c r="K76" s="7" t="n"/>
    </row>
    <row r="77">
      <c r="A77" s="5" t="n">
        <v>76</v>
      </c>
      <c r="B77" s="5" t="inlineStr">
        <is>
          <t>07. N · Etapa 2 (runtime, cinta, explorador, funciones)</t>
        </is>
      </c>
      <c r="C77" s="6" t="inlineStr">
        <is>
          <t>N38</t>
        </is>
      </c>
      <c r="D77" s="5" t="inlineStr">
        <is>
          <t>Entradas y salidas</t>
        </is>
      </c>
      <c r="E77" s="5" t="inlineStr">
        <is>
          <t>aurora-A.xlsx (sigue)</t>
        </is>
      </c>
      <c r="F77" s="5" t="inlineStr">
        <is>
          <t>(U3.4, nuevo). Con la demo simulada, pulsa en la cinta Entradas y salidas (grupo Análisis).
- Esperado: la ventana del explorador en su pestaña «Entradas y salidas»: dos tablas con todas las entradas (las del panel y las de funciones RIESGO, marcadas «· función») y todas las salidas, con su distribución o su valor más frecuente, y media, p5 y p95.
- Pulsa una fila: Excel selecciona esa celda y la ventana pasa a la pestaña «Distribución» con esa entrada o salida.
- Arreglo de paso: una función RIESGO dentro de una suma en una celda con fecha (escribe en una celda vacía con formato de fecha =FECHA(2027;1;1)+RIESGO.NORMAL(90;10) y márcala como salida) aparece en la lista como Normal(90; 10) (días), no como una fecha de 1900.</t>
        </is>
      </c>
      <c r="G77" s="5" t="inlineStr">
        <is>
          <t>(Lo esperado está en los pasos.)</t>
        </is>
      </c>
      <c r="H77" s="5" t="inlineStr">
        <is>
          <t>Pendiente</t>
        </is>
      </c>
      <c r="I77" s="5" t="n"/>
      <c r="J77" s="5" t="n"/>
      <c r="K77" s="7" t="n"/>
    </row>
    <row r="78">
      <c r="A78" s="5" t="n">
        <v>77</v>
      </c>
      <c r="B78" s="5" t="inlineStr">
        <is>
          <t>07. N · Etapa 2 (runtime, cinta, explorador, funciones)</t>
        </is>
      </c>
      <c r="C78" s="6" t="inlineStr">
        <is>
          <t>N39</t>
        </is>
      </c>
      <c r="D78" s="5" t="inlineStr">
        <is>
          <t>Clic derecho y Detener</t>
        </is>
      </c>
      <c r="E78" s="5" t="inlineStr">
        <is>
          <t>aurora-A.xlsx (sigue)</t>
        </is>
      </c>
      <c r="F78" s="5" t="inlineStr">
        <is>
          <t>(U3.5, U3.6, nuevo).
- Clic derecho en una celda de la hoja «Modelo»: aparece «Riesgo Monte Carlo» con Marcar como entrada, Marcar como salida y Ver distribución. Marca una entrada así: se pinta de amarillo y el panel no se abre. «Ver distribución» sobre una salida ya simulada abre el explorador.
- En la cinta, Detener está gris. Pon 100.000 iteraciones y simula: mientras simula, Detener se activa y Simular se pone gris. Pulsa Detener: la simulación para y Resultados dice «cancelada». Al terminar, vuelven como estaban. (Si no se activan o desactivan, apúntalo: depende de tu versión de Excel, y Detener funciona igual pulsándolo.)</t>
        </is>
      </c>
      <c r="G78" s="5" t="inlineStr">
        <is>
          <t>(Lo esperado está en los pasos.)</t>
        </is>
      </c>
      <c r="H78" s="5" t="inlineStr">
        <is>
          <t>Pendiente</t>
        </is>
      </c>
      <c r="I78" s="5" t="n"/>
      <c r="J78" s="5" t="n"/>
      <c r="K78" s="7" t="n"/>
    </row>
    <row r="79">
      <c r="A79" s="5" t="n">
        <v>78</v>
      </c>
      <c r="B79" s="5" t="inlineStr">
        <is>
          <t>07. N · Etapa 2 (runtime, cinta, explorador, funciones)</t>
        </is>
      </c>
      <c r="C79" s="6" t="inlineStr">
        <is>
          <t>N40</t>
        </is>
      </c>
      <c r="D79" s="5" t="inlineStr">
        <is>
          <t>Contingencia</t>
        </is>
      </c>
      <c r="E79" s="5" t="inlineStr">
        <is>
          <t>aurora-A.xlsx (sigue)</t>
        </is>
      </c>
      <c r="F79" s="5" t="inlineStr">
        <is>
          <t>(V1, nuevo). Con el libro en Valores fijos, simula la demo (hoja «Modelo»). En Resultados, en la salida, sección «Contingencia» (abierta).
- Esperado: «Valor base X»: el número que enseñaba la celda de la salida antes de simular (compruébalo en la hoja). La probabilidad de cumplirlo y una tabla con 50 %, 80 % y 90 % de confianza.
- Arriba, coste o plazo / beneficio: se propone por el nombre (un VAN o unos ingresos, beneficio; un coste o una fecha de fin, coste). Cámbialo: la tabla pasa de «Reserva sobre el base» (P50, P80, P90) a «Por debajo del base» (P50, P20, P10). Cierra y abre el panel: la elección se mantiene.
- En la hoja «Pruebas», con «Coste total» (C49) y los riesgos de las filas 57–59: es el caso típico de presupuesto. Marca C59 como salida: dime si la reserva al P80 te parece razonable.
- Pon Aleatorio y simula: la sección dice que no hay valor base. Vuelve a Valores fijos.
- Volcar a una hoja: sección «CONTINGENCIA FRENTE AL VALOR BASE». Informe PDF: la misma tabla en cada salida.</t>
        </is>
      </c>
      <c r="G79" s="5" t="inlineStr">
        <is>
          <t>(Lo esperado está en los pasos.)</t>
        </is>
      </c>
      <c r="H79" s="5" t="inlineStr">
        <is>
          <t>Pendiente</t>
        </is>
      </c>
      <c r="I79" s="5" t="n"/>
      <c r="J79" s="5" t="n"/>
      <c r="K79" s="7" t="n"/>
    </row>
    <row r="80">
      <c r="A80" s="5" t="n">
        <v>79</v>
      </c>
      <c r="B80" s="5" t="inlineStr">
        <is>
          <t>07. N · Etapa 2 (runtime, cinta, explorador, funciones)</t>
        </is>
      </c>
      <c r="C80" s="6" t="inlineStr">
        <is>
          <t>N41</t>
        </is>
      </c>
      <c r="D80" s="5" t="inlineStr">
        <is>
          <t>Matriz de probabilidad e impacto</t>
        </is>
      </c>
      <c r="E80" s="5" t="inlineStr">
        <is>
          <t>aurora-A.xlsx (sigue)</t>
        </is>
      </c>
      <c r="F80" s="5" t="inlineStr">
        <is>
          <t>(V2, nuevo). En «Pruebas», con los riesgos de las filas 57–58 (T10), marca C59 como salida y simula. En Resultados → Registro de riesgos, debajo de la tabla, «Probabilidad e impacto»:
- Esperado: una cuadrícula 5 × 5 de colores (verde, amarillo, naranja, rojo). «Retraso de permisos» (30 %, impacto medio 30.000) en Media × Muy alto; «Avería grave» (10 %, 50.000) en Baja × Muy alto. Los dos, severidad Alta.
- Volcar a una hoja: en el registro, una columna «Severidad» coloreada y la cuadrícula con los números de cada riesgo. Informe PDF: la misma matriz.
- Dime si las bandas (probabilidad &lt; 10 %, 10–30 %…; impacto frente al mayor del registro) encajan con cómo clasificas los riesgos en tu trabajo, o si prefieres fijar los umbrales de impacto en pesos.</t>
        </is>
      </c>
      <c r="G80" s="5" t="inlineStr">
        <is>
          <t>(Lo esperado está en los pasos.)</t>
        </is>
      </c>
      <c r="H80" s="5" t="inlineStr">
        <is>
          <t>Pendiente</t>
        </is>
      </c>
      <c r="I80" s="5" t="n"/>
      <c r="J80" s="5" t="n"/>
      <c r="K80" s="7" t="n"/>
    </row>
    <row r="81">
      <c r="A81" s="5" t="n">
        <v>80</v>
      </c>
      <c r="B81" s="5" t="inlineStr">
        <is>
          <t>07. N · Etapa 2 (runtime, cinta, explorador, funciones)</t>
        </is>
      </c>
      <c r="C81" s="6" t="inlineStr">
        <is>
          <t>N42</t>
        </is>
      </c>
      <c r="D81" s="5" t="inlineStr">
        <is>
          <t>Ejemplo de cronograma</t>
        </is>
      </c>
      <c r="E81" s="5" t="inlineStr">
        <is>
          <t>aurora-A.xlsx (sigue)</t>
        </is>
      </c>
      <c r="F81" s="5" t="inlineStr">
        <is>
          <t>(nuevo). Cinta → Ejemplos ▾ → Cronograma de obra (el manifiesto cambió: si no aparece, npm run stop, npm start y reabre Excel).
- Esperado: una hoja «Cronograma» con nueve actividades (duración, inicio, fin), el retraso por lluvias en la fila 16 y, abajo, «Fecha de entrega» y «Duración total». Con Valores fijos, las fechas salen con las duraciones medias.
- Simula: «Duración total» con media en torno a 249 días y «Fecha de entrega» en fechas (en torno al 08/10/2027). Pon en la fecha de entrega el umbral «por debajo de» 06/09/2027: la probabilidad sale muy baja (en torno al 3 %). Mira también el Registro de riesgos (lluvias) y la Contingencia.
- Para presentar: abre con doble clic ejemplos\cronograma-obra-animado.html (la versión animada del mismo cronograma).</t>
        </is>
      </c>
      <c r="G81" s="5" t="inlineStr">
        <is>
          <t>(Lo esperado está en los pasos.)</t>
        </is>
      </c>
      <c r="H81" s="5" t="inlineStr">
        <is>
          <t>Pendiente</t>
        </is>
      </c>
      <c r="I81" s="5" t="n"/>
      <c r="J81" s="5" t="n"/>
      <c r="K81" s="7" t="n"/>
    </row>
    <row r="82">
      <c r="A82" s="5" t="n">
        <v>81</v>
      </c>
      <c r="B82" s="5" t="inlineStr">
        <is>
          <t>08. V3 y V4 · Comparar y asistente</t>
        </is>
      </c>
      <c r="C82" s="6" t="inlineStr">
        <is>
          <t>V3a</t>
        </is>
      </c>
      <c r="D82" s="5" t="inlineStr">
        <is>
          <t>Comparar con otra salida</t>
        </is>
      </c>
      <c r="E82" s="5" t="inlineStr">
        <is>
          <t>aurora-A.xlsx (sigue)</t>
        </is>
      </c>
      <c r="F82" s="5" t="inlineStr">
        <is>
          <t>Con al menos dos salidas, simula y abre Ver distribución sobre una de ellas. Arriba del gráfico aparece Comparar con: elige la otra salida. En el histograma sale una línea roja con su forma (a la misma escala) y, debajo, una tabla «Esta / Comparada / Diferencia» con media, desviación, p5, p50 y p95. En Acumulada, las dos curvas (la comparada, punteada).</t>
        </is>
      </c>
      <c r="G82" s="5" t="inlineStr">
        <is>
          <t>(Lo esperado está en los pasos.)</t>
        </is>
      </c>
      <c r="H82" s="5" t="inlineStr">
        <is>
          <t>Pendiente</t>
        </is>
      </c>
      <c r="I82" s="5" t="n"/>
      <c r="J82" s="5" t="n"/>
      <c r="K82" s="7" t="n"/>
    </row>
    <row r="83">
      <c r="A83" s="5" t="n">
        <v>82</v>
      </c>
      <c r="B83" s="5" t="inlineStr">
        <is>
          <t>08. V3 y V4 · Comparar y asistente</t>
        </is>
      </c>
      <c r="C83" s="6" t="inlineStr">
        <is>
          <t>V3b</t>
        </is>
      </c>
      <c r="D83" s="5" t="inlineStr">
        <is>
          <t>Comparar con un escenario</t>
        </is>
      </c>
      <c r="E83" s="5" t="inlineStr">
        <is>
          <t>aurora-A.xlsx (sigue)</t>
        </is>
      </c>
      <c r="F83" s="5" t="inlineStr">
        <is>
          <t>En Resultados guarda la simulación como escenario «Base», cambia una entrada, vuelve a simular y abre el explorador: en Comparar con aparece «La misma salida en un escenario · «Base»». Elígelo y selecciona otra salida en la hoja: sigue comparando con «Base» (ahora con esa salida).</t>
        </is>
      </c>
      <c r="G83" s="5" t="inlineStr">
        <is>
          <t>(Lo esperado está en los pasos.)</t>
        </is>
      </c>
      <c r="H83" s="5" t="inlineStr">
        <is>
          <t>Pendiente</t>
        </is>
      </c>
      <c r="I83" s="5" t="n"/>
      <c r="J83" s="5" t="n"/>
      <c r="K83" s="7" t="n"/>
    </row>
    <row r="84">
      <c r="A84" s="5" t="n">
        <v>83</v>
      </c>
      <c r="B84" s="5" t="inlineStr">
        <is>
          <t>08. V3 y V4 · Comparar y asistente</t>
        </is>
      </c>
      <c r="C84" s="6" t="inlineStr">
        <is>
          <t>V4a</t>
        </is>
      </c>
      <c r="D84" s="5" t="inlineStr">
        <is>
          <t>El asistente</t>
        </is>
      </c>
      <c r="E84" s="5" t="inlineStr">
        <is>
          <t>aurora-A.xlsx (sigue)</t>
        </is>
      </c>
      <c r="F84" s="5" t="inlineStr">
        <is>
          <t>En la pestaña Modelo, abre una entrada y pulsa Asistente: dígamelo en palabras. Escribe mínimo 1000, máximo 1600 y más probable 1200, con «Podría salirse de ese rango 1 de cada 10 veces».</t>
        </is>
      </c>
      <c r="G84" s="5" t="inlineStr">
        <is>
          <t>Esperado: «… 1.000 y 1.600 se toman como el P10 y el P90: una Trigen que en realidad va de 789,5 a 1.869», con la forma debajo. Pulsa Usar esta distribución: el desplegable pasa a Trigen con esos valores.</t>
        </is>
      </c>
      <c r="H84" s="5" t="inlineStr">
        <is>
          <t>Pendiente</t>
        </is>
      </c>
      <c r="I84" s="5" t="n"/>
      <c r="J84" s="5" t="n"/>
      <c r="K84" s="7" t="n"/>
    </row>
    <row r="85">
      <c r="A85" s="5" t="n">
        <v>84</v>
      </c>
      <c r="B85" s="5" t="inlineStr">
        <is>
          <t>08. V3 y V4 · Comparar y asistente</t>
        </is>
      </c>
      <c r="C85" s="6" t="inlineStr">
        <is>
          <t>V4b</t>
        </is>
      </c>
      <c r="D85" s="5" t="inlineStr">
        <is>
          <t>Las otras respuestas</t>
        </is>
      </c>
      <c r="E85" s="5" t="inlineStr">
        <is>
          <t>aurora-A.xlsx (sigue)</t>
        </is>
      </c>
      <c r="F85" s="5" t="inlineStr">
        <is>
          <t>Con «Nunca bajaría del mínimo ni pasaría del máximo» propone una PERT entre 1000 y 1600. Marca «No sé cuál es lo más probable»: con extremos firmes propone una uniforme; con «1 de cada 10», una Trigen centrada en 1300 y un aviso. Con mínimo mayor que máximo, dice por qué no se puede.</t>
        </is>
      </c>
      <c r="G85" s="5" t="inlineStr">
        <is>
          <t>(Lo esperado está en los pasos.)</t>
        </is>
      </c>
      <c r="H85" s="5" t="inlineStr">
        <is>
          <t>Pendiente</t>
        </is>
      </c>
      <c r="I85" s="5" t="n"/>
      <c r="J85" s="5" t="n"/>
      <c r="K85" s="7" t="n"/>
    </row>
    <row r="86">
      <c r="A86" s="5" t="n">
        <v>85</v>
      </c>
      <c r="B86" s="5" t="inlineStr">
        <is>
          <t>09. R1–R4 · Correlaciones, P80, percentiles, compatible</t>
        </is>
      </c>
      <c r="C86" s="6" t="inlineStr">
        <is>
          <t>R1</t>
        </is>
      </c>
      <c r="D86" s="5" t="inlineStr">
        <is>
          <t>Una correlación imposible ya no impide simular</t>
        </is>
      </c>
      <c r="E86" s="5" t="inlineStr">
        <is>
          <t>aurora-A.xlsx (sigue)</t>
        </is>
      </c>
      <c r="F86" s="5" t="inlineStr">
        <is>
          <t>En la pestaña Modelo, abre la Matriz de correlaciones con tres entradas y pon 0,9 entre la 1.ª y la 2.ª, 0,9 entre la 2.ª y la 3.ª y −0,9 entre la 1.ª y la 3.ª.</t>
        </is>
      </c>
      <c r="G86" s="5" t="inlineStr">
        <is>
          <t>Esperado: bajo la matriz, un aviso «…no pueden darse a la vez (son contradictorias): se usa la combinación posible más cercana — «A»–«B» 0,90 → …», con los coeficientes que se usan. Simula: simula, y el mismo aviso sale arriba en Resultados. Deja las correlaciones como estaban.</t>
        </is>
      </c>
      <c r="H86" s="5" t="inlineStr">
        <is>
          <t>Pendiente</t>
        </is>
      </c>
      <c r="I86" s="5" t="n"/>
      <c r="J86" s="5" t="n"/>
      <c r="K86" s="7" t="n"/>
    </row>
    <row r="87">
      <c r="A87" s="5" t="n">
        <v>86</v>
      </c>
      <c r="B87" s="5" t="inlineStr">
        <is>
          <t>09. R1–R4 · Correlaciones, P80, percentiles, compatible</t>
        </is>
      </c>
      <c r="C87" s="6" t="inlineStr">
        <is>
          <t>R2</t>
        </is>
      </c>
      <c r="D87" s="5" t="inlineStr">
        <is>
          <t>El P80 en «¿Bastan las iteraciones?»</t>
        </is>
      </c>
      <c r="E87" s="5" t="inlineStr">
        <is>
          <t>aurora-A.xlsx (sigue)</t>
        </is>
      </c>
      <c r="F87" s="5" t="inlineStr">
        <is>
          <t>Simula con 1.000 iteraciones. El recuadro de precisión de cada salida (dentro de «Estadísticos y percentiles», ábrela con ▸) dice ahora «la media se conoce con ±… y el P80 con ±…»; si no bastan, las iteraciones que pide cuentan también el P80. Con Simular hasta alcanzar la precisión (Configuración), las tandas siguen hasta que la media y el P80 cumplen.</t>
        </is>
      </c>
      <c r="G87" s="5" t="inlineStr">
        <is>
          <t>(Lo esperado está en los pasos.)</t>
        </is>
      </c>
      <c r="H87" s="5" t="inlineStr">
        <is>
          <t>Pendiente</t>
        </is>
      </c>
      <c r="I87" s="5" t="n"/>
      <c r="J87" s="5" t="n"/>
      <c r="K87" s="7" t="n"/>
    </row>
    <row r="88">
      <c r="A88" s="5" t="n">
        <v>87</v>
      </c>
      <c r="B88" s="5" t="inlineStr">
        <is>
          <t>09. R1–R4 · Correlaciones, P80, percentiles, compatible</t>
        </is>
      </c>
      <c r="C88" s="6" t="inlineStr">
        <is>
          <t>R3</t>
        </is>
      </c>
      <c r="D88" s="5" t="inlineStr">
        <is>
          <t>Percentiles configurables (C6)</t>
        </is>
      </c>
      <c r="E88" s="5" t="inlineStr">
        <is>
          <t>aurora-A.xlsx (sigue)</t>
        </is>
      </c>
      <c r="F88" s="5" t="inlineStr">
        <is>
          <t>En Configuración (⚙), sección Percentiles: pon Bajo p10, Alto p90 y en Adicionales 2,5; 97,5. Simula.</t>
        </is>
      </c>
      <c r="G88" s="5" t="inlineStr">
        <is>
          <t>Esperado: las cifras grandes dicen «p10» y «p90» (no p5 y p95), la tabla de salidas y la comparación con un escenario también; en el informe PDF los delimitadores del histograma van en p10 y p90 (10 % · 80 % · 10 %); en la hoja volcada, la tabla de percentiles incluye p2,5 y p97,5, en orden. Escribe 120 en Adicionales: dice qué está mal y no lo guarda. Vuelve a p5 y p95.</t>
        </is>
      </c>
      <c r="H88" s="5" t="inlineStr">
        <is>
          <t>Pendiente</t>
        </is>
      </c>
      <c r="I88" s="5" t="n"/>
      <c r="J88" s="5" t="n"/>
      <c r="K88" s="7" t="n"/>
    </row>
    <row r="89">
      <c r="A89" s="5" t="n">
        <v>88</v>
      </c>
      <c r="B89" s="5" t="inlineStr">
        <is>
          <t>09. R1–R4 · Correlaciones, P80, percentiles, compatible</t>
        </is>
      </c>
      <c r="C89" s="6" t="inlineStr">
        <is>
          <t>R4</t>
        </is>
      </c>
      <c r="D89" s="5" t="inlineStr">
        <is>
          <t>Modo compatible más rápido (F3)</t>
        </is>
      </c>
      <c r="E89" s="5" t="inlineStr">
        <is>
          <t>aurora-A.xlsx (sigue)</t>
        </is>
      </c>
      <c r="F89" s="5" t="inlineStr">
        <is>
          <t>En Configuración elige el motor Compatible y simula 1.000 iteraciones del libro de demostración. Anota cuánto tarda (arriba en Resultados) y compáralo con lo que tardaba antes (prueba H2 de la ronda del 29/09): el primer viaje a Excel lleva 20 iteraciones y los siguientes se ajustan para durar unos 0,7 s, así que debería ir igual o más rápido, con los mismos resultados que el motor rápido. Vuelve a Automático.</t>
        </is>
      </c>
      <c r="G89" s="5" t="inlineStr">
        <is>
          <t>(Lo esperado está en los pasos.)</t>
        </is>
      </c>
      <c r="H89" s="5" t="inlineStr">
        <is>
          <t>Pendiente</t>
        </is>
      </c>
      <c r="I89" s="5" t="n"/>
      <c r="J89" s="5" t="n"/>
      <c r="K89" s="7" t="n"/>
    </row>
    <row r="90">
      <c r="A90" s="5" t="n">
        <v>89</v>
      </c>
      <c r="B90" s="5" t="inlineStr">
        <is>
          <t>10. F · Funciones RIESGO (hoja «Pruebas»)</t>
        </is>
      </c>
      <c r="C90" s="6" t="inlineStr">
        <is>
          <t>F1</t>
        </is>
      </c>
      <c r="D90" s="5" t="inlineStr">
        <is>
          <t>En C5 escribe =RIESGO.NORMAL(1000;150).</t>
        </is>
      </c>
      <c r="E90" s="5" t="inlineStr">
        <is>
          <t>aurora-F.xlsx (copia nueva de aurora-base.xlsx)</t>
        </is>
      </c>
      <c r="F90" s="5" t="inlineStr">
        <is>
          <t>En C5 escribe =RIESGO.NORMAL(1000;150).
- Esperado: al escribir =RIES Excel propone las funciones. La celda vale 1.000 (fuera de la simulación enseña la media).</t>
        </is>
      </c>
      <c r="G90" s="5" t="inlineStr">
        <is>
          <t>(Lo esperado está en los pasos.)</t>
        </is>
      </c>
      <c r="H90" s="5" t="inlineStr">
        <is>
          <t>Pendiente</t>
        </is>
      </c>
      <c r="I90" s="5" t="n"/>
      <c r="J90" s="5" t="n"/>
      <c r="K90" s="7" t="n"/>
    </row>
    <row r="91">
      <c r="A91" s="5" t="n">
        <v>90</v>
      </c>
      <c r="B91" s="5" t="inlineStr">
        <is>
          <t>10. F · Funciones RIESGO (hoja «Pruebas»)</t>
        </is>
      </c>
      <c r="C91" s="6" t="inlineStr">
        <is>
          <t>F2</t>
        </is>
      </c>
      <c r="D91" s="5" t="inlineStr">
        <is>
          <t>En C6 escribe =RIESGO.TRIANGULAR(8;10;14).</t>
        </is>
      </c>
      <c r="E91" s="5" t="inlineStr">
        <is>
          <t>aurora-F.xlsx (copia nueva de aurora-base.xlsx)</t>
        </is>
      </c>
      <c r="F91" s="5" t="inlineStr">
        <is>
          <t>En C6 escribe =RIESGO.TRIANGULAR(8;10;14).
- Esperado: C6 = 10,67 y C7 = 10.666,67.</t>
        </is>
      </c>
      <c r="G91" s="5" t="inlineStr">
        <is>
          <t>(Lo esperado está en los pasos.)</t>
        </is>
      </c>
      <c r="H91" s="5" t="inlineStr">
        <is>
          <t>Pendiente</t>
        </is>
      </c>
      <c r="I91" s="5" t="n"/>
      <c r="J91" s="5" t="n"/>
      <c r="K91" s="7" t="n"/>
    </row>
    <row r="92">
      <c r="A92" s="5" t="n">
        <v>91</v>
      </c>
      <c r="B92" s="5" t="inlineStr">
        <is>
          <t>10. F · Funciones RIESGO (hoja «Pruebas»)</t>
        </is>
      </c>
      <c r="C92" s="6" t="inlineStr">
        <is>
          <t>F3</t>
        </is>
      </c>
      <c r="D92" s="5" t="inlineStr">
        <is>
          <t>Selecciona C7 y añádela como salida (se llama «Ingresos = Demanda × Precio»).</t>
        </is>
      </c>
      <c r="E92" s="5" t="inlineStr">
        <is>
          <t>aurora-F.xlsx (copia nueva de aurora-base.xlsx)</t>
        </is>
      </c>
      <c r="F92" s="5" t="inlineStr">
        <is>
          <t>Selecciona C7 y añádela como salida (se llama «Ingresos = Demanda × Precio»). Sin entradas. Simula.
- Esperado:
  - Motor rápido.
  - En «Cómo se calculó», «Entradas con funciones RIESGO del libro»: Pruebas!C5 y Pruebas!C6, con nombres legibles («Demanda», «Precio»).
  - Media de C7 en torno a 10.670.</t>
        </is>
      </c>
      <c r="G92" s="5" t="inlineStr">
        <is>
          <t>(Lo esperado está en los pasos.)</t>
        </is>
      </c>
      <c r="H92" s="5" t="inlineStr">
        <is>
          <t>Pendiente</t>
        </is>
      </c>
      <c r="I92" s="5" t="n"/>
      <c r="J92" s="5" t="n"/>
      <c r="K92" s="7" t="n"/>
    </row>
    <row r="93">
      <c r="A93" s="5" t="n">
        <v>92</v>
      </c>
      <c r="B93" s="5" t="inlineStr">
        <is>
          <t>10. F · Funciones RIESGO (hoja «Pruebas»)</t>
        </is>
      </c>
      <c r="C93" s="6" t="inlineStr">
        <is>
          <t>F4</t>
        </is>
      </c>
      <c r="D93" s="5" t="inlineStr">
        <is>
          <t>Color de las celdas RIESGO</t>
        </is>
      </c>
      <c r="E93" s="5" t="inlineStr">
        <is>
          <t>aurora-F.xlsx (copia nueva de aurora-base.xlsx)</t>
        </is>
      </c>
      <c r="F93" s="5" t="inlineStr">
        <is>
          <t>Tras simular, C5 y C6 quedan pintadas de melocotón, distinto del amarillo de las entradas del panel.</t>
        </is>
      </c>
      <c r="G93" s="5" t="inlineStr">
        <is>
          <t>(Lo esperado está en los pasos.)</t>
        </is>
      </c>
      <c r="H93" s="5" t="inlineStr">
        <is>
          <t>Pendiente</t>
        </is>
      </c>
      <c r="I93" s="5" t="n"/>
      <c r="J93" s="5" t="n"/>
      <c r="K93" s="7" t="n"/>
    </row>
    <row r="94">
      <c r="A94" s="5" t="n">
        <v>93</v>
      </c>
      <c r="B94" s="5" t="inlineStr">
        <is>
          <t>10. F · Funciones RIESGO (hoja «Pruebas»)</t>
        </is>
      </c>
      <c r="C94" s="6" t="inlineStr">
        <is>
          <t>F5</t>
        </is>
      </c>
      <c r="D94" s="5" t="inlineStr">
        <is>
          <t>Error bien explicado</t>
        </is>
      </c>
      <c r="E94" s="5" t="inlineStr">
        <is>
          <t>aurora-F.xlsx (copia nueva de aurora-base.xlsx)</t>
        </is>
      </c>
      <c r="F94" s="5" t="inlineStr">
        <is>
          <t>En C5 escribe =RIESGO.NORMAL(1000;-150) (una desviación negativa) y simula.
- Esperado: no simula; dice «Hay funciones RIESGO que no se pueden usar tal como están» y nombra Pruebas!C5 con el motivo (parámetros no válidos).
- Vuelve a poner =RIESGO.NORMAL(1000;150).
- *Cambiado el 28/09:* antes esta prueba usaba =RIESGO.NORMAL(C12;150), que ya no es un error: desde B7 una celda puede ser argumento (bloque F12–F15).</t>
        </is>
      </c>
      <c r="G94" s="5" t="inlineStr">
        <is>
          <t>(Lo esperado está en los pasos.)</t>
        </is>
      </c>
      <c r="H94" s="5" t="inlineStr">
        <is>
          <t>Pendiente</t>
        </is>
      </c>
      <c r="I94" s="5" t="n"/>
      <c r="J94" s="5" t="n"/>
      <c r="K94" s="7" t="n"/>
    </row>
    <row r="95">
      <c r="A95" s="5" t="n">
        <v>94</v>
      </c>
      <c r="B95" s="5" t="inlineStr">
        <is>
          <t>10. F · Funciones RIESGO (hoja «Pruebas»)</t>
        </is>
      </c>
      <c r="C95" s="6" t="inlineStr">
        <is>
          <t>F6</t>
        </is>
      </c>
      <c r="D95" s="5" t="inlineStr">
        <is>
          <t>Una RIESGO dentro del modelo grande</t>
        </is>
      </c>
      <c r="E95" s="5" t="inlineStr">
        <is>
          <t>aurora-F.xlsx (copia nueva de aurora-base.xlsx)</t>
        </is>
      </c>
      <c r="F95" s="5" t="inlineStr">
        <is>
          <t>Cierra sin guardar y reabre. En Modelo!C5 escribe =RIESGO.NORMAL(120;10). Quita todo del panel, añade solo Modelo!C32 como salida y simula.
- Esperado:
  - Simula sin error.
  - El tornado tiene una sola barra, la de Modelo!C5.
- Después cierra sin guardar y reabre.
Funciones nuevas (sección 6 de «Pruebas», filas 25–29). Escribe cada una en su celda amarilla: la instrucción está en la columna I.
- Prueba · Celda · Fórmula · Valor en la celda
- F7 · C25 · =RIESGO.DISCRETA(E25:E27;F25:F27) · 5 (3, 5 o 10 días con 50/30/20 %)
- F8 · C26 · =RIESGO.TRUNCAR(RIESGO.NORMAL(100;30);50;150) · 100
- F9 · C27 · =RIESGO.LOGNORMAL2(4,6;0,2) · 101,49
- F10 · C28 · =RIESGO.EMPIRICA(K5:K44) · 118,95 (la media de los datos)
Al escribir cada una, Excel enseña la ayuda de sus argumentos. C29 (suma de control) vale 325,44.</t>
        </is>
      </c>
      <c r="G95" s="5" t="inlineStr">
        <is>
          <t>(Lo esperado está en los pasos.)</t>
        </is>
      </c>
      <c r="H95" s="5" t="inlineStr">
        <is>
          <t>Pendiente</t>
        </is>
      </c>
      <c r="I95" s="5" t="n"/>
      <c r="J95" s="5" t="n"/>
      <c r="K95" s="7" t="n"/>
    </row>
    <row r="96">
      <c r="A96" s="5" t="n">
        <v>95</v>
      </c>
      <c r="B96" s="5" t="inlineStr">
        <is>
          <t>10. F · Funciones RIESGO (hoja «Pruebas»)</t>
        </is>
      </c>
      <c r="C96" s="6" t="inlineStr">
        <is>
          <t>F11</t>
        </is>
      </c>
      <c r="D96" s="5" t="inlineStr">
        <is>
          <t>Simularlas</t>
        </is>
      </c>
      <c r="E96" s="5" t="inlineStr">
        <is>
          <t>aurora-F.xlsx (copia nueva de aurora-base.xlsx)</t>
        </is>
      </c>
      <c r="F96" s="5" t="inlineStr">
        <is>
          <t>Quita todo del panel. Añade como salidas C25, C26, C27 y C28 y simula.
- Esperado, en «Cómo se calculó», las cuatro entradas RIESGO:
- Salida · Qué se ve
- C25 · Histograma con solo tres barras (3, 5 y 10). Media en torno a 5.
- C26 · Mínimo ≥ 50 y máximo ≤ 150: nada se sale de los límites. Media en torno a 100.
- C27 · Cola a la derecha. Mediana en torno a 99,5 y media en torno a 101,5.
- C28 · Mínimo 90,79 y máximo 165,8: solo salen valores que están en los datos. Media en torno a 119.
RIESGO con celdas (B7, sección 7 de «Pruebas», filas 32–37). C32 (1.000) y C33 (150) son la media y la desviación de la demanda, escritas en celdas.</t>
        </is>
      </c>
      <c r="G96" s="5" t="inlineStr">
        <is>
          <t>(Lo esperado está en los pasos.)</t>
        </is>
      </c>
      <c r="H96" s="5" t="inlineStr">
        <is>
          <t>Pendiente</t>
        </is>
      </c>
      <c r="I96" s="5" t="n"/>
      <c r="J96" s="5" t="n"/>
      <c r="K96" s="7" t="n"/>
    </row>
    <row r="97">
      <c r="A97" s="5" t="n">
        <v>96</v>
      </c>
      <c r="B97" s="5" t="inlineStr">
        <is>
          <t>10. F · Funciones RIESGO (hoja «Pruebas»)</t>
        </is>
      </c>
      <c r="C97" s="6" t="inlineStr">
        <is>
          <t>F12</t>
        </is>
      </c>
      <c r="D97" s="5" t="inlineStr">
        <is>
          <t>Escribir</t>
        </is>
      </c>
      <c r="E97" s="5" t="inlineStr">
        <is>
          <t>aurora-F.xlsx (copia nueva de aurora-base.xlsx)</t>
        </is>
      </c>
      <c r="F97" s="5" t="inlineStr">
        <is>
          <t>En las celdas amarillas:
- Celda · Fórmula · Qué caso es · Valor en la celda
- C34 · =RIESGO.NORMAL(C32;C33) · argumentos que son celdas · 1.000
- C35 · =10+RIESGO.NORMAL(0;1) · dentro de una operación · 10
- C36 · =RIESGO.NORMAL(C34;50) · la media es otra celda aleatoria (C34) · 1.000
C37 (ya escrita, =C36*C35) vale 10.000.</t>
        </is>
      </c>
      <c r="G97" s="5" t="inlineStr">
        <is>
          <t>(Lo esperado está en los pasos.)</t>
        </is>
      </c>
      <c r="H97" s="5" t="inlineStr">
        <is>
          <t>Pendiente</t>
        </is>
      </c>
      <c r="I97" s="5" t="n"/>
      <c r="J97" s="5" t="n"/>
      <c r="K97" s="7" t="n"/>
    </row>
    <row r="98">
      <c r="A98" s="5" t="n">
        <v>97</v>
      </c>
      <c r="B98" s="5" t="inlineStr">
        <is>
          <t>10. F · Funciones RIESGO (hoja «Pruebas»)</t>
        </is>
      </c>
      <c r="C98" s="6" t="inlineStr">
        <is>
          <t>F13</t>
        </is>
      </c>
      <c r="D98" s="5" t="inlineStr">
        <is>
          <t>Simular</t>
        </is>
      </c>
      <c r="E98" s="5" t="inlineStr">
        <is>
          <t>aurora-F.xlsx (copia nueva de aurora-base.xlsx)</t>
        </is>
      </c>
      <c r="F98" s="5" t="inlineStr">
        <is>
          <t>Quita todo del panel, añade C37 como salida y simula.
- Esperado:
  - Motor rápido, sin errores.
  - En «Cómo se calculó», «Entradas con funciones RIESGO del libro»:
    - «Demanda con celdas (Pruebas!C34): Normal(1000; 150)», con los números leídos de C32 y C33.
    - «Precio con imprevisto (Pruebas!C35): Normal(0; 1)».
    - «Demanda del mes siguiente (Pruebas!C36): RIESGO.NORMAL con parámetros que cambian en cada iteración».
  - C37: media en torno a 10.000 y desviación en torno a 1.875.
  - En el tornado, arriba «Demanda con celdas», luego «Precio con imprevisto» y, con poco peso, «Demanda del mes siguiente».
  - C34, C35 y C36 se pintan de melocotón.</t>
        </is>
      </c>
      <c r="G98" s="5" t="inlineStr">
        <is>
          <t>(Lo esperado está en los pasos.)</t>
        </is>
      </c>
      <c r="H98" s="5" t="inlineStr">
        <is>
          <t>Pendiente</t>
        </is>
      </c>
      <c r="I98" s="5" t="n"/>
      <c r="J98" s="5" t="n"/>
      <c r="K98" s="7" t="n"/>
    </row>
    <row r="99">
      <c r="A99" s="5" t="n">
        <v>98</v>
      </c>
      <c r="B99" s="5" t="inlineStr">
        <is>
          <t>10. F · Funciones RIESGO (hoja «Pruebas»)</t>
        </is>
      </c>
      <c r="C99" s="6" t="inlineStr">
        <is>
          <t>F14</t>
        </is>
      </c>
      <c r="D99" s="5" t="inlineStr">
        <is>
          <t>Los argumentos se leen al simular</t>
        </is>
      </c>
      <c r="E99" s="5" t="inlineStr">
        <is>
          <t>aurora-F.xlsx (copia nueva de aurora-base.xlsx)</t>
        </is>
      </c>
      <c r="F99" s="5" t="inlineStr">
        <is>
          <t>Cambia C33 a 300 y vuelve a simular.
- Esperado: C34 pasa a Normal(1000; 300) y la desviación de C37 sube a unos 3.200.
- Vuelve a poner C33 en 150.</t>
        </is>
      </c>
      <c r="G99" s="5" t="inlineStr">
        <is>
          <t>(Lo esperado está en los pasos.)</t>
        </is>
      </c>
      <c r="H99" s="5" t="inlineStr">
        <is>
          <t>Pendiente</t>
        </is>
      </c>
      <c r="I99" s="5" t="n"/>
      <c r="J99" s="5" t="n"/>
      <c r="K99" s="7" t="n"/>
    </row>
    <row r="100">
      <c r="A100" s="5" t="n">
        <v>99</v>
      </c>
      <c r="B100" s="5" t="inlineStr">
        <is>
          <t>10. F · Funciones RIESGO (hoja «Pruebas»)</t>
        </is>
      </c>
      <c r="C100" s="6" t="inlineStr">
        <is>
          <t>F15</t>
        </is>
      </c>
      <c r="D100" s="5" t="inlineStr">
        <is>
          <t>C35 y C36 con el motor compatible</t>
        </is>
      </c>
      <c r="E100" s="5" t="inlineStr">
        <is>
          <t>aurora-F.xlsx (copia nueva de aurora-base.xlsx)</t>
        </is>
      </c>
      <c r="F100" s="5" t="inlineStr">
        <is>
          <t>En ⚙, sección «Simulación», motor Compatible, y simula.
- Esperado (cambió en la etapa 2, ver N9): simula, también C35 (una función RIESGO dentro de una operación) y C36 (una función RIESGO con parámetros que cambian en cada iteración). El aviso «Hay funciones RIESGO que el modo compatible no puede simular» solo sale con dos funciones RIESGO en la misma fórmula o con RIESGO.TRUNCAR con parámetros que cambian.
- Vuelve el motor a Automático.
Resultados en la hoja (B6, sección 8 de «Pruebas», filas 40–43). Traen a la hoja lo que dio la última simulación de C37.</t>
        </is>
      </c>
      <c r="G100" s="5" t="inlineStr">
        <is>
          <t>(Lo esperado está en los pasos.)</t>
        </is>
      </c>
      <c r="H100" s="5" t="inlineStr">
        <is>
          <t>Pendiente</t>
        </is>
      </c>
      <c r="I100" s="5" t="n"/>
      <c r="J100" s="5" t="n"/>
      <c r="K100" s="7" t="n"/>
    </row>
    <row r="101">
      <c r="A101" s="5" t="n">
        <v>100</v>
      </c>
      <c r="B101" s="5" t="inlineStr">
        <is>
          <t>10. F · Funciones RIESGO (hoja «Pruebas»)</t>
        </is>
      </c>
      <c r="C101" s="6" t="inlineStr">
        <is>
          <t>F16</t>
        </is>
      </c>
      <c r="D101" s="5" t="inlineStr">
        <is>
          <t>Escribir</t>
        </is>
      </c>
      <c r="E101" s="5" t="inlineStr">
        <is>
          <t>aurora-F.xlsx (copia nueva de aurora-base.xlsx)</t>
        </is>
      </c>
      <c r="F101" s="5" t="inlineStr">
        <is>
          <t>Escribe las fórmulas de la sección 8:
- Celda · Fórmula · Tras simular F17, en torno a
- C40 · =RIESGO.MEDIA(C37) · 10.000
- C41 · =RIESGO.PERCENTIL(C37;0,05) · 7.050
- C42 · =RIESGO.PROB(C37;8000) · 14 %
- C43 · =RIESGO.DESV(C37) · 1.875
- Esperado nada más escribirlas: ya dan números, los de la última simulación de C37, que fue la de F14 (con C33 = 300). Por eso C43 dice unos 3.200 y no 1.875.
- Si sale #¿NOMBRE?, Excel no ha cargado las funciones nuevas: mira la preparación (cerrar Excel, npm run stop, npm start).</t>
        </is>
      </c>
      <c r="G101" s="5" t="inlineStr">
        <is>
          <t>(Lo esperado está en los pasos.)</t>
        </is>
      </c>
      <c r="H101" s="5" t="inlineStr">
        <is>
          <t>Pendiente</t>
        </is>
      </c>
      <c r="I101" s="5" t="n"/>
      <c r="J101" s="5" t="n"/>
      <c r="K101" s="7" t="n"/>
    </row>
    <row r="102">
      <c r="A102" s="5" t="n">
        <v>101</v>
      </c>
      <c r="B102" s="5" t="inlineStr">
        <is>
          <t>10. F · Funciones RIESGO (hoja «Pruebas»)</t>
        </is>
      </c>
      <c r="C102" s="6" t="inlineStr">
        <is>
          <t>F17</t>
        </is>
      </c>
      <c r="D102" s="5" t="inlineStr">
        <is>
          <t>Simular</t>
        </is>
      </c>
      <c r="E102" s="5" t="inlineStr">
        <is>
          <t>aurora-F.xlsx (copia nueva de aurora-base.xlsx)</t>
        </is>
      </c>
      <c r="F102" s="5" t="inlineStr">
        <is>
          <t>Con C37 como salida (y C33 otra vez en 150), simula.
- Esperado:
  - Al terminar, C40–C43 cambian solos a los valores de la tabla (C43 baja de unos 3.200 a unos 1.875).
  - C40 y C43 son exactamente la media y la desviación que enseña el panel.
  - C41 es casi igual al p5 del panel (el panel lo calcula con toda la muestra; la función, con 1.001 cuantiles).
- Vuelve a simular: cambian con la simulación nueva.</t>
        </is>
      </c>
      <c r="G102" s="5" t="inlineStr">
        <is>
          <t>(Lo esperado está en los pasos.)</t>
        </is>
      </c>
      <c r="H102" s="5" t="inlineStr">
        <is>
          <t>Pendiente</t>
        </is>
      </c>
      <c r="I102" s="5" t="n"/>
      <c r="J102" s="5" t="n"/>
      <c r="K102" s="7" t="n"/>
    </row>
    <row r="103">
      <c r="A103" s="5" t="n">
        <v>102</v>
      </c>
      <c r="B103" s="5" t="inlineStr">
        <is>
          <t>10. F · Funciones RIESGO (hoja «Pruebas»)</t>
        </is>
      </c>
      <c r="C103" s="6" t="inlineStr">
        <is>
          <t>F18</t>
        </is>
      </c>
      <c r="D103" s="5" t="inlineStr">
        <is>
          <t>Variantes</t>
        </is>
      </c>
      <c r="E103" s="5" t="inlineStr">
        <is>
          <t>aurora-F.xlsx (copia nueva de aurora-base.xlsx)</t>
        </is>
      </c>
      <c r="F103" s="5" t="inlineStr">
        <is>
          <t>Escribe en celdas vacías (por ejemplo, E40 y E41):
- =RIESGO.PROB(C37;8000;VERDADERO): la probabilidad por encima, en torno a 86 % (C42 + E40 = 100 %).
- =RIESGO.PERCENTIL(C37;95): el p95, en torno a 13.200 (el 95 se entiende como 0,95).
- =RIESGO.MIN(C37) y =RIESGO.MAX(C37): el mínimo y el máximo del panel.
- =RIESGO.MEDIA(C32): C32 no es una salida, así que da #N/D. Al pasar el ratón por el aviso de la celda se lee «Sin resultados de esta celda: márcala como salida y simula».</t>
        </is>
      </c>
      <c r="G103" s="5" t="inlineStr">
        <is>
          <t>(Lo esperado está en los pasos.)</t>
        </is>
      </c>
      <c r="H103" s="5" t="inlineStr">
        <is>
          <t>Pendiente</t>
        </is>
      </c>
      <c r="I103" s="5" t="n"/>
      <c r="J103" s="5" t="n"/>
      <c r="K103" s="7" t="n"/>
    </row>
    <row r="104">
      <c r="A104" s="5" t="n">
        <v>103</v>
      </c>
      <c r="B104" s="5" t="inlineStr">
        <is>
          <t>10. F · Funciones RIESGO (hoja «Pruebas»)</t>
        </is>
      </c>
      <c r="C104" s="6" t="inlineStr">
        <is>
          <t>F19</t>
        </is>
      </c>
      <c r="D104" s="5" t="inlineStr">
        <is>
          <t>Cerrar y reabrir</t>
        </is>
      </c>
      <c r="E104" s="5" t="inlineStr">
        <is>
          <t>aurora-F.xlsx (copia nueva de aurora-base.xlsx)</t>
        </is>
      </c>
      <c r="F104" s="5" t="inlineStr">
        <is>
          <t>Guarda, cierra Excel, ejecuta npm start y vuelve a abrir el libro.
- Esperado: C40–C43 siguen con sus números, y al abrir el panel siguen igual.
- Desde la etapa 2 los resultados se leen del libro (ver N3): también en otro equipo salen los números sin simular.
Salida y correlación con funciones (sección 9 de «Pruebas», filas 46–49). Escribe:
- Celda · Fórmula · Enseña
- C46 · =RIESGO.NORMAL(100;10) · 100
- C47 · =RIESGO.NORMAL(50;5) · 50
- C48 · =RIESGO.CORRELACION(C46;C47;0,9) · 0,90
- C49 · =RIESGO.SALIDA("Coste total")+C46+C47 · 150</t>
        </is>
      </c>
      <c r="G104" s="5" t="inlineStr">
        <is>
          <t>(Lo esperado está en los pasos.)</t>
        </is>
      </c>
      <c r="H104" s="5" t="inlineStr">
        <is>
          <t>Pendiente</t>
        </is>
      </c>
      <c r="I104" s="5" t="n"/>
      <c r="J104" s="5" t="n"/>
      <c r="K104" s="7" t="n"/>
    </row>
    <row r="105">
      <c r="A105" s="5" t="n">
        <v>104</v>
      </c>
      <c r="B105" s="5" t="inlineStr">
        <is>
          <t>10. F · Funciones RIESGO (hoja «Pruebas»)</t>
        </is>
      </c>
      <c r="C105" s="6" t="inlineStr">
        <is>
          <t>F20</t>
        </is>
      </c>
      <c r="D105" s="5" t="inlineStr">
        <is>
          <t>RIESGO.SALIDA</t>
        </is>
      </c>
      <c r="E105" s="5" t="inlineStr">
        <is>
          <t>aurora-F.xlsx (copia nueva de aurora-base.xlsx)</t>
        </is>
      </c>
      <c r="F105" s="5" t="inlineStr">
        <is>
          <t>Sin marcar C49 como salida en el panel, simula.
- Esperado: en Resultados aparece una salida «Coste total» (Pruebas!C49), con media en torno a 150. Si quitas todas las salidas del panel, *Simular* sigue funcionando: basta la de la fórmula.</t>
        </is>
      </c>
      <c r="G105" s="5" t="inlineStr">
        <is>
          <t>(Lo esperado está en los pasos.)</t>
        </is>
      </c>
      <c r="H105" s="5" t="inlineStr">
        <is>
          <t>Pendiente</t>
        </is>
      </c>
      <c r="I105" s="5" t="n"/>
      <c r="J105" s="5" t="n"/>
      <c r="K105" s="7" t="n"/>
    </row>
    <row r="106">
      <c r="A106" s="5" t="n">
        <v>105</v>
      </c>
      <c r="B106" s="5" t="inlineStr">
        <is>
          <t>10. F · Funciones RIESGO (hoja «Pruebas»)</t>
        </is>
      </c>
      <c r="C106" s="6" t="inlineStr">
        <is>
          <t>F21</t>
        </is>
      </c>
      <c r="D106" s="5" t="inlineStr">
        <is>
          <t>RIESGO.CORRELACION</t>
        </is>
      </c>
      <c r="E106" s="5" t="inlineStr">
        <is>
          <t>aurora-F.xlsx (copia nueva de aurora-base.xlsx)</t>
        </is>
      </c>
      <c r="F106" s="5" t="inlineStr">
        <is>
          <t>Mira la desviación de «Coste total».
- Esperado: unos 14,7 (con la correlación de 0,9). Cambia C48 a =RIESGO.CORRELACION(C46;C47;0) y vuelve a simular: baja a unos 11,2; con -0,9, a unos 5,9. Deja 0,9.
- Errores claros: un coeficiente de 1,5 (en la celda da #¡NUM!; al simular, «tiene que estar entre -1 y 1»), o una celda que no es entrada (p. ej. =RIESGO.CORRELACION(C46;C45;0,5): «Pruebas!C45 no es una entrada»).
- Con el motor Compatible da lo mismo (más despacio).
- «Preparar para compartir»: C49 queda como =0+C46+C47 (sigue calculando sin el complemento), C48 con su valor, y el panel gana la salida «Coste total» y la correlación entre C46 y C47. «Restaurar» lo deshace.</t>
        </is>
      </c>
      <c r="G106" s="5" t="inlineStr">
        <is>
          <t>(Lo esperado está en los pasos.)</t>
        </is>
      </c>
      <c r="H106" s="5" t="inlineStr">
        <is>
          <t>Pendiente</t>
        </is>
      </c>
      <c r="I106" s="5" t="n"/>
      <c r="J106" s="5" t="n"/>
      <c r="K106" s="7" t="n"/>
    </row>
    <row r="107">
      <c r="A107" s="5" t="n">
        <v>106</v>
      </c>
      <c r="B107" s="5" t="inlineStr">
        <is>
          <t>10. F · Funciones RIESGO (hoja «Pruebas»)</t>
        </is>
      </c>
      <c r="C107" s="6" t="inlineStr">
        <is>
          <t>F22</t>
        </is>
      </c>
      <c r="D107" s="5" t="inlineStr">
        <is>
          <t>Distribuciones nuevas</t>
        </is>
      </c>
      <c r="E107" s="5" t="inlineStr">
        <is>
          <t>aurora-F.xlsx (copia nueva de aurora-base.xlsx)</t>
        </is>
      </c>
      <c r="F107" s="5" t="inlineStr">
        <is>
          <t>(B5 del plan, nuevo). En celdas vacías de «Pruebas» (por ejemplo, la columna E a partir de la fila 46), escribe una a una. En «Valores fijos» (media), cada una enseña:
- Fórmula · Enseña
- =RIESGO.STUDENT(5;100;10) · 100
- =RIESGO.LOGISTICA(100;10) · 100
- =RIESGO.LOGLOGISTICA(50;4) · 55,54
- =RIESGO.PARETO(1000;3) · 1.500
- =RIESGO.UNIFORMEENTERA(1;6) · 3,5
- =RIESGO.GEOMETRICA(0,25) · 3
- =RIESGO.BINOMNEG(3;0,4) · 4,5
- =RIESGO.HIPERGEOM(10;5;50) · 1
- =RIESGO.TRIGEN(80;100;150;0,1;0,9) · 112,93
- =RIESGO.HISTOGRAMA(0;100;{1;3;5;3;1}) · 50
- Marca una de ellas como salida y simula: la media del panel se acerca a lo que enseña la celda.
- En el panel, una entrada nueva: en «Distribución» aparecen las diez, cada una con su explicación y su vista previa; el histograma pide mínimo, máximo y los pesos de los tramos.
- Errores claros: =RIESGO.HIPERGEOM(10;60;50) da #¡NUM! (más casos que población); al simular, el motivo.</t>
        </is>
      </c>
      <c r="G107" s="5" t="inlineStr">
        <is>
          <t>(Lo esperado está en los pasos.)</t>
        </is>
      </c>
      <c r="H107" s="5" t="inlineStr">
        <is>
          <t>Pendiente</t>
        </is>
      </c>
      <c r="I107" s="5" t="n"/>
      <c r="J107" s="5" t="n"/>
      <c r="K107" s="7" t="n"/>
    </row>
    <row r="108">
      <c r="A108" s="5" t="n">
        <v>107</v>
      </c>
      <c r="B108" s="5" t="inlineStr">
        <is>
          <t>10. G · LET, matrices y derrame</t>
        </is>
      </c>
      <c r="C108" s="6" t="inlineStr">
        <is>
          <t>G1</t>
        </is>
      </c>
      <c r="D108" s="5" t="inlineStr">
        <is>
          <t>LET</t>
        </is>
      </c>
      <c r="E108" s="5" t="inlineStr">
        <is>
          <t>aurora-F.xlsx (sigue)</t>
        </is>
      </c>
      <c r="F108" s="5" t="inlineStr">
        <is>
          <t>Añade Pruebas!C10 como salida (ya tiene LET) y simula, con C5 y C6 de F1–F2 escritas.
- Esperado: motor rápido; media en torno a 4.270 (el 40 % de C7).</t>
        </is>
      </c>
      <c r="G108" s="5" t="inlineStr">
        <is>
          <t>(Lo esperado está en los pasos.)</t>
        </is>
      </c>
      <c r="H108" s="5" t="inlineStr">
        <is>
          <t>Pendiente</t>
        </is>
      </c>
      <c r="I108" s="5" t="n"/>
      <c r="J108" s="5" t="n"/>
      <c r="K108" s="7" t="n"/>
    </row>
    <row r="109">
      <c r="A109" s="5" t="n">
        <v>108</v>
      </c>
      <c r="B109" s="5" t="inlineStr">
        <is>
          <t>10. G · LET, matrices y derrame</t>
        </is>
      </c>
      <c r="C109" s="6" t="inlineStr">
        <is>
          <t>G2</t>
        </is>
      </c>
      <c r="D109" s="5" t="inlineStr">
        <is>
          <t>Matrices</t>
        </is>
      </c>
      <c r="E109" s="5" t="inlineStr">
        <is>
          <t>aurora-F.xlsx (sigue)</t>
        </is>
      </c>
      <c r="F109" s="5" t="inlineStr">
        <is>
          <t>Escribe:
- Celda · Fórmula · Valor esperado
- C13 · =SUMA(FILTRAR(F13:F17;F13:F17&gt;C12;0)) · 470
- C14 · =SUMAPRODUCTO((F13:F17&gt;C12)*F13:F17) · 470
- C15 · =INDICE(ORDENAR(F13:F17;1;-1);1) · 200
Los tres valores coinciden con la tabla.</t>
        </is>
      </c>
      <c r="G109" s="5" t="inlineStr">
        <is>
          <t>(Lo esperado está en los pasos.)</t>
        </is>
      </c>
      <c r="H109" s="5" t="inlineStr">
        <is>
          <t>Pendiente</t>
        </is>
      </c>
      <c r="I109" s="5" t="n"/>
      <c r="J109" s="5" t="n"/>
      <c r="K109" s="7" t="n"/>
    </row>
    <row r="110">
      <c r="A110" s="5" t="n">
        <v>109</v>
      </c>
      <c r="B110" s="5" t="inlineStr">
        <is>
          <t>10. G · LET, matrices y derrame</t>
        </is>
      </c>
      <c r="C110" s="6" t="inlineStr">
        <is>
          <t>G3</t>
        </is>
      </c>
      <c r="D110" s="5" t="inlineStr">
        <is>
          <t>Marca C13, C14 y C15 como salidas y simula.</t>
        </is>
      </c>
      <c r="E110" s="5" t="inlineStr">
        <is>
          <t>aurora-F.xlsx (sigue)</t>
        </is>
      </c>
      <c r="F110" s="5" t="inlineStr">
        <is>
          <t>Marca C13, C14 y C15 como salidas y simula.
- Esperado: sigue siendo motor rápido, y C13 y C14 tienen la misma media (en torno a 462).</t>
        </is>
      </c>
      <c r="G110" s="5" t="inlineStr">
        <is>
          <t>(Lo esperado está en los pasos.)</t>
        </is>
      </c>
      <c r="H110" s="5" t="inlineStr">
        <is>
          <t>Pendiente</t>
        </is>
      </c>
      <c r="I110" s="5" t="n"/>
      <c r="J110" s="5" t="n"/>
      <c r="K110" s="7" t="n"/>
    </row>
    <row r="111">
      <c r="A111" s="5" t="n">
        <v>110</v>
      </c>
      <c r="B111" s="5" t="inlineStr">
        <is>
          <t>10. G · LET, matrices y derrame</t>
        </is>
      </c>
      <c r="C111" s="6" t="inlineStr">
        <is>
          <t>G4</t>
        </is>
      </c>
      <c r="D111" s="5" t="inlineStr">
        <is>
          <t>Derrame</t>
        </is>
      </c>
      <c r="E111" s="5" t="inlineStr">
        <is>
          <t>aurora-F.xlsx (sigue)</t>
        </is>
      </c>
      <c r="F111" s="5" t="inlineStr">
        <is>
          <t>En H13 escribe =FILTRAR(E13:E17;F13:F17&gt;C12) (salen zonas hacia abajo). Añade H13 como salida y simula.
- Esperado: pasa al modo compatible y explica que H13 «devuelve varias celdas y aquí derramaría».
- H13 es texto, así que ahora se ve como salida de texto: barras con cuántas veces sale cada zona.
- Después quita H13 de las salidas.</t>
        </is>
      </c>
      <c r="G111" s="5" t="inlineStr">
        <is>
          <t>(Lo esperado está en los pasos.)</t>
        </is>
      </c>
      <c r="H111" s="5" t="inlineStr">
        <is>
          <t>Pendiente</t>
        </is>
      </c>
      <c r="I111" s="5" t="n"/>
      <c r="J111" s="5" t="n"/>
      <c r="K111" s="7" t="n"/>
    </row>
    <row r="112">
      <c r="A112" s="5" t="n">
        <v>111</v>
      </c>
      <c r="B112" s="5" t="inlineStr">
        <is>
          <t>11. H · Modo compatible</t>
        </is>
      </c>
      <c r="C112" s="6" t="inlineStr">
        <is>
          <t>H1</t>
        </is>
      </c>
      <c r="D112" s="5" t="inlineStr">
        <is>
          <t>Entrada con fórmula</t>
        </is>
      </c>
      <c r="E112" s="5" t="inlineStr">
        <is>
          <t>aurora-H.xlsx (copia nueva de aurora-base.xlsx)</t>
        </is>
      </c>
      <c r="F112" s="5" t="inlineStr">
        <is>
          <t>Quita todo del panel. Marca Pruebas!C21 como entrada (tiene =7+1) y C22 como salida. En ⚙: motor Compatible e iteraciones 1000. Simula; la triangular que propone el panel vale.
- Esperado: al terminar, C21 sigue teniendo la fórmula =7+1 (míralo en la barra de fórmulas).</t>
        </is>
      </c>
      <c r="G112" s="5" t="inlineStr">
        <is>
          <t>(Lo esperado está en los pasos.)</t>
        </is>
      </c>
      <c r="H112" s="5" t="inlineStr">
        <is>
          <t>Pendiente</t>
        </is>
      </c>
      <c r="I112" s="5" t="n"/>
      <c r="J112" s="5" t="n"/>
      <c r="K112" s="7" t="n"/>
    </row>
    <row r="113">
      <c r="A113" s="5" t="n">
        <v>112</v>
      </c>
      <c r="B113" s="5" t="inlineStr">
        <is>
          <t>11. H · Modo compatible</t>
        </is>
      </c>
      <c r="C113" s="6" t="inlineStr">
        <is>
          <t>H2</t>
        </is>
      </c>
      <c r="D113" s="5" t="inlineStr">
        <is>
          <t>Pantalla congelada</t>
        </is>
      </c>
      <c r="E113" s="5" t="inlineStr">
        <is>
          <t>aurora-H.xlsx (copia nueva de aurora-base.xlsx)</t>
        </is>
      </c>
      <c r="F113" s="5" t="inlineStr">
        <is>
          <t>En ⚙, marca «Congelar la pantalla al simular con Excel en el bucle» y repite H1.
- Esperado: la hoja no parpadea mientras simula.
- Apunta el tiempo con y sin la casilla; dime si va más rápido.
- Después vuelve el motor a Automático (la casilla puede quedarse).</t>
        </is>
      </c>
      <c r="G113" s="5" t="inlineStr">
        <is>
          <t>(Lo esperado está en los pasos.)</t>
        </is>
      </c>
      <c r="H113" s="5" t="inlineStr">
        <is>
          <t>Pendiente</t>
        </is>
      </c>
      <c r="I113" s="5" t="n"/>
      <c r="J113" s="5" t="n"/>
      <c r="K113" s="7" t="n"/>
    </row>
    <row r="114">
      <c r="A114" s="5" t="n">
        <v>113</v>
      </c>
      <c r="B114" s="5" t="inlineStr">
        <is>
          <t>11. T · Variables de texto (hoja «Zonas»)</t>
        </is>
      </c>
      <c r="C114" s="6" t="inlineStr">
        <is>
          <t>T1</t>
        </is>
      </c>
      <c r="D114" s="5" t="inlineStr">
        <is>
          <t>Entrada de texto</t>
        </is>
      </c>
      <c r="E114" s="5" t="inlineStr">
        <is>
          <t>aurora-H.xlsx (sigue)</t>
        </is>
      </c>
      <c r="F114" s="5" t="inlineStr">
        <is>
          <t>Selecciona C4 («Norte») y añádela como entrada.
- Esperado: el panel la propone como Categórica con una sola categoría, «Norte».
- Selecciona en la hoja E5:F7 y pulsa «Leer de la selección»: quedan Norte 20 %, Sur 50 % y Este 30 %, y la vista previa enseña tres barras.</t>
        </is>
      </c>
      <c r="G114" s="5" t="inlineStr">
        <is>
          <t>(Lo esperado está en los pasos.)</t>
        </is>
      </c>
      <c r="H114" s="5" t="inlineStr">
        <is>
          <t>Pendiente</t>
        </is>
      </c>
      <c r="I114" s="5" t="n"/>
      <c r="J114" s="5" t="n"/>
      <c r="K114" s="7" t="n"/>
    </row>
    <row r="115">
      <c r="A115" s="5" t="n">
        <v>114</v>
      </c>
      <c r="B115" s="5" t="inlineStr">
        <is>
          <t>11. T · Variables de texto (hoja «Zonas»)</t>
        </is>
      </c>
      <c r="C115" s="6" t="inlineStr">
        <is>
          <t>T2</t>
        </is>
      </c>
      <c r="D115" s="5" t="inlineStr">
        <is>
          <t>El resto</t>
        </is>
      </c>
      <c r="E115" s="5" t="inlineStr">
        <is>
          <t>aurora-H.xlsx (sigue)</t>
        </is>
      </c>
      <c r="F115" s="5" t="inlineStr">
        <is>
          <t>Marca C6 (precio) y C7 (unidades) como entradas; deja la triangular que proponen. Marca como salidas C8 (ingresos), C9 (gama) y C10 (¿supera 100.000 €?). Simula.
- Esperado: sigue siendo motor rápido.
- Ingresos: media en torno a 99.000 € y p5–p95 en torno a 85.000 – 115.000.
- Abre la sección «Según las entradas de texto» (plegada): Según Zona de venta, una tabla con la media de los ingresos en cada zona (Norte la más alta, Este la más baja).</t>
        </is>
      </c>
      <c r="G115" s="5" t="inlineStr">
        <is>
          <t>(Lo esperado está en los pasos.)</t>
        </is>
      </c>
      <c r="H115" s="5" t="inlineStr">
        <is>
          <t>Pendiente</t>
        </is>
      </c>
      <c r="I115" s="5" t="n"/>
      <c r="J115" s="5" t="n"/>
      <c r="K115" s="7" t="n"/>
    </row>
    <row r="116">
      <c r="A116" s="5" t="n">
        <v>115</v>
      </c>
      <c r="B116" s="5" t="inlineStr">
        <is>
          <t>11. T · Variables de texto (hoja «Zonas»)</t>
        </is>
      </c>
      <c r="C116" s="6" t="inlineStr">
        <is>
          <t>T3</t>
        </is>
      </c>
      <c r="D116" s="5" t="inlineStr">
        <is>
          <t>Salida de texto (la gama)</t>
        </is>
      </c>
      <c r="E116" s="5" t="inlineStr">
        <is>
          <t>aurora-H.xlsx (sigue)</t>
        </is>
      </c>
      <c r="F116" s="5" t="inlineStr">
        <is>
          <t>En la salida C9:
- «Valores que salen»: barras con Media en torno al 71 %, Baja 17 % y Alta 12 %.
- En «Probabilidad de que salga» elige Alta: dice la probabilidad (≈ 12 %).
- «Qué decide que salga «Alta»»: arriba, la zona o el precio, con cuánto sale en su 10 % bajo y en su 10 % alto.
- La lectura en palabras, arriba, dice lo mismo en frases.</t>
        </is>
      </c>
      <c r="G116" s="5" t="inlineStr">
        <is>
          <t>(Lo esperado está en los pasos.)</t>
        </is>
      </c>
      <c r="H116" s="5" t="inlineStr">
        <is>
          <t>Pendiente</t>
        </is>
      </c>
      <c r="I116" s="5" t="n"/>
      <c r="J116" s="5" t="n"/>
      <c r="K116" s="7" t="n"/>
    </row>
    <row r="117">
      <c r="A117" s="5" t="n">
        <v>116</v>
      </c>
      <c r="B117" s="5" t="inlineStr">
        <is>
          <t>11. T · Variables de texto (hoja «Zonas»)</t>
        </is>
      </c>
      <c r="C117" s="6" t="inlineStr">
        <is>
          <t>T4</t>
        </is>
      </c>
      <c r="D117" s="5" t="inlineStr">
        <is>
          <t>Salida de sí/no</t>
        </is>
      </c>
      <c r="E117" s="5" t="inlineStr">
        <is>
          <t>aurora-H.xlsx (sigue)</t>
        </is>
      </c>
      <c r="F117" s="5" t="inlineStr">
        <is>
          <t>En C10: VERDADERO en torno al 44 % y FALSO al 56 %, con las palabras de tu Excel (VERDADERO / FALSO).</t>
        </is>
      </c>
      <c r="G117" s="5" t="inlineStr">
        <is>
          <t>(Lo esperado está en los pasos.)</t>
        </is>
      </c>
      <c r="H117" s="5" t="inlineStr">
        <is>
          <t>Pendiente</t>
        </is>
      </c>
      <c r="I117" s="5" t="n"/>
      <c r="J117" s="5" t="n"/>
      <c r="K117" s="7" t="n"/>
    </row>
    <row r="118">
      <c r="A118" s="5" t="n">
        <v>117</v>
      </c>
      <c r="B118" s="5" t="inlineStr">
        <is>
          <t>11. T · Variables de texto (hoja «Zonas»)</t>
        </is>
      </c>
      <c r="C118" s="6" t="inlineStr">
        <is>
          <t>T5</t>
        </is>
      </c>
      <c r="D118" s="5" t="inlineStr">
        <is>
          <t>Con la función</t>
        </is>
      </c>
      <c r="E118" s="5" t="inlineStr">
        <is>
          <t>aurora-H.xlsx (sigue)</t>
        </is>
      </c>
      <c r="F118" s="5" t="inlineStr">
        <is>
          <t>En C12 escribe =RIESGO.CATEGORIA(E5:E7;F5:F7).
- Fuera de la simulación vale Sur (la más probable).
- Añade C13 como salida y simula: en «Según las entradas de texto» (ábrela con ▸), la tabla de C13 «Según Zona con función» se parece a la de T2.</t>
        </is>
      </c>
      <c r="G118" s="5" t="inlineStr">
        <is>
          <t>(Lo esperado está en los pasos.)</t>
        </is>
      </c>
      <c r="H118" s="5" t="inlineStr">
        <is>
          <t>Pendiente</t>
        </is>
      </c>
      <c r="I118" s="5" t="n"/>
      <c r="J118" s="5" t="n"/>
      <c r="K118" s="7" t="n"/>
    </row>
    <row r="119">
      <c r="A119" s="5" t="n">
        <v>118</v>
      </c>
      <c r="B119" s="5" t="inlineStr">
        <is>
          <t>11. T · Variables de texto (hoja «Zonas»)</t>
        </is>
      </c>
      <c r="C119" s="6" t="inlineStr">
        <is>
          <t>T6</t>
        </is>
      </c>
      <c r="D119" s="5" t="inlineStr">
        <is>
          <t>En la hoja volcada y en los escenarios</t>
        </is>
      </c>
      <c r="E119" s="5" t="inlineStr">
        <is>
          <t>aurora-H.xlsx (sigue)</t>
        </is>
      </c>
      <c r="F119" s="5" t="inlineStr">
        <is>
          <t>- Volcar a una hoja: la gama sale con la tabla «Valor / Iteraciones / Probabilidad» y el cruce por zona.
- Guarda como escenario, cambia la probabilidad de Norte a 40 % (y Sur a 30 %), simula: en «En todos los escenarios» la gama muestra el valor más frecuente y su probabilidad.</t>
        </is>
      </c>
      <c r="G119" s="5" t="inlineStr">
        <is>
          <t>(Lo esperado está en los pasos.)</t>
        </is>
      </c>
      <c r="H119" s="5" t="inlineStr">
        <is>
          <t>Pendiente</t>
        </is>
      </c>
      <c r="I119" s="5" t="n"/>
      <c r="J119" s="5" t="n"/>
      <c r="K119" s="7" t="n"/>
    </row>
    <row r="120">
      <c r="A120" s="5" t="n">
        <v>119</v>
      </c>
      <c r="B120" s="5" t="inlineStr">
        <is>
          <t>11. T · Variables de texto (hoja «Zonas»)</t>
        </is>
      </c>
      <c r="C120" s="6" t="inlineStr">
        <is>
          <t>T7</t>
        </is>
      </c>
      <c r="D120" s="5" t="inlineStr">
        <is>
          <t>Correlación no permitida</t>
        </is>
      </c>
      <c r="E120" s="5" t="inlineStr">
        <is>
          <t>aurora-H.xlsx (sigue)</t>
        </is>
      </c>
      <c r="F120" s="5" t="inlineStr">
        <is>
          <t>Añade una correlación entre la zona y el precio y simula.
- Esperado: no simula y dice «Zona de venta» es una entrada de texto: no se puede correlacionar con otras.
- Quita la correlación.</t>
        </is>
      </c>
      <c r="G120" s="5" t="inlineStr">
        <is>
          <t>(Lo esperado está en los pasos.)</t>
        </is>
      </c>
      <c r="H120" s="5" t="inlineStr">
        <is>
          <t>Pendiente</t>
        </is>
      </c>
      <c r="I120" s="5" t="n"/>
      <c r="J120" s="5" t="n"/>
      <c r="K120" s="7" t="n"/>
    </row>
    <row r="121">
      <c r="A121" s="5" t="n">
        <v>120</v>
      </c>
      <c r="B121" s="5" t="inlineStr">
        <is>
          <t>11. T · Variables de texto (hoja «Zonas»)</t>
        </is>
      </c>
      <c r="C121" s="6" t="inlineStr">
        <is>
          <t>T8</t>
        </is>
      </c>
      <c r="D121" s="5" t="inlineStr">
        <is>
          <t>RIESGO.PROB con texto</t>
        </is>
      </c>
      <c r="E121" s="5" t="inlineStr">
        <is>
          <t>aurora-H.xlsx (sigue)</t>
        </is>
      </c>
      <c r="F121" s="5" t="inlineStr">
        <is>
          <t>Tras simular T2, escribe en una celda vacía =RIESGO.PROB(C9;"Alta").
- Esperado: en torno a 12 %, lo mismo que dice el panel para «Alta».</t>
        </is>
      </c>
      <c r="G121" s="5" t="inlineStr">
        <is>
          <t>(Lo esperado está en los pasos.)</t>
        </is>
      </c>
      <c r="H121" s="5" t="inlineStr">
        <is>
          <t>Pendiente</t>
        </is>
      </c>
      <c r="I121" s="5" t="n"/>
      <c r="J121" s="5" t="n"/>
      <c r="K121" s="7" t="n"/>
    </row>
    <row r="122">
      <c r="A122" s="5" t="n">
        <v>121</v>
      </c>
      <c r="B122" s="5" t="inlineStr">
        <is>
          <t>11. T · Variables de texto (hoja «Zonas»)</t>
        </is>
      </c>
      <c r="C122" s="6" t="inlineStr">
        <is>
          <t>T9</t>
        </is>
      </c>
      <c r="D122" s="5" t="inlineStr">
        <is>
          <t>Fechas</t>
        </is>
      </c>
      <c r="E122" s="5" t="inlineStr">
        <is>
          <t>aurora-H.xlsx (sigue)</t>
        </is>
      </c>
      <c r="F122" s="5" t="inlineStr">
        <is>
          <t>(T7 del plan, nuevo; hoja «Pruebas», sección 10, filas 52–54). Escribe =RIESGO.TRIANGULAR(FECHA(2027;1;1);FECHA(2027;2;1);FECHA(2027;4;1)) en C52 (ya tiene formato de fecha) y =RIESGO.NORMAL(90;10) en C53. C54 es =C52+C53, con formato de fecha. Marca C54 como salida y simula.
- Esperado, en Resultados, todo en fechas: media en torno al 11/05/2027, p5 hacia el 08/04/2027 y p95 hacia el 17/06/2027; la desviación, en días (unos 21). También los ejes del histograma y de la curva, los delimitadores, los percentiles y la lectura.
- En la pregunta de probabilidad escribe 15/05/2027: da la probabilidad de terminar antes (en torno al 58 %).
- En «Cómo se muestrearon las entradas», C52 sale en fechas.
- «Volcar a una hoja» e «Informe PDF»: fechas también (la desviación, en días).</t>
        </is>
      </c>
      <c r="G122" s="5" t="inlineStr">
        <is>
          <t>(Lo esperado está en los pasos.)</t>
        </is>
      </c>
      <c r="H122" s="5" t="inlineStr">
        <is>
          <t>Pendiente</t>
        </is>
      </c>
      <c r="I122" s="5" t="n"/>
      <c r="J122" s="5" t="n"/>
      <c r="K122" s="7" t="n"/>
    </row>
    <row r="123">
      <c r="A123" s="5" t="n">
        <v>122</v>
      </c>
      <c r="B123" s="5" t="inlineStr">
        <is>
          <t>11. T · Variables de texto (hoja «Zonas»)</t>
        </is>
      </c>
      <c r="C123" s="6" t="inlineStr">
        <is>
          <t>T10</t>
        </is>
      </c>
      <c r="D123" s="5" t="inlineStr">
        <is>
          <t>Registro de riesgos</t>
        </is>
      </c>
      <c r="E123" s="5" t="inlineStr">
        <is>
          <t>aurora-H.xlsx (sigue)</t>
        </is>
      </c>
      <c r="F123" s="5" t="inlineStr">
        <is>
          <t>(T8 del plan, nuevo; «Pruebas», sección 11, filas 57–59). Escribe =RIESGO.EVENTO(0,3;RIESGO.TRIANGULAR(10000;20000;60000)) en C57 y =RIESGO.EVENTO(0,1;50000) en C58.
- Nada más escribirlas, en «Valores fijos» (media), C57 enseña 9.000 y C58 5.000: su valor esperado (probabilidad × impacto medio).
- Marca C59 como salida y simula.</t>
        </is>
      </c>
      <c r="G123" s="5" t="inlineStr">
        <is>
          <t>Esperado:
  - Media de C59 en torno a 14.000.
  - En Resultados, sección «Registro de riesgos»: los dos riesgos, con su probabilidad (30 % y 10 %), su impacto, el valor esperado (9.000 y 5.000) y su parte del total (64 % y 36 %), de más a menos.
  - En «Qué la mueve más», cada riesgo aparece como «… (ocurre)» y, el primero, también «… (impacto)».
  - «Volcar a una hoja»: sección REGISTRO DE RIESGOS tras el resumen de las salidas, con probabilidad en %, esperado, parte del total y una fila Total (14.000). «Informe PDF»: la misma tabla, tras «Entradas inciertas».
- Con el motor Compatible: C58 sí (una sola función); C57 avisa de que tiene varias funciones en la fórmula (pon el impacto en otra celda).</t>
        </is>
      </c>
      <c r="H123" s="5" t="inlineStr">
        <is>
          <t>Pendiente</t>
        </is>
      </c>
      <c r="I123" s="5" t="n"/>
      <c r="J123" s="5" t="n"/>
      <c r="K123" s="7" t="n"/>
    </row>
    <row r="124">
      <c r="A124" s="5" t="n">
        <v>123</v>
      </c>
      <c r="B124" s="5" t="inlineStr">
        <is>
          <t>11. T · Variables de texto (hoja «Zonas»)</t>
        </is>
      </c>
      <c r="C124" s="6" t="inlineStr">
        <is>
          <t>T11</t>
        </is>
      </c>
      <c r="D124" s="5" t="inlineStr">
        <is>
          <t>Opciones de decisión</t>
        </is>
      </c>
      <c r="E124" s="5" t="inlineStr">
        <is>
          <t>aurora-H.xlsx (sigue)</t>
        </is>
      </c>
      <c r="F124" s="5" t="inlineStr">
        <is>
          <t>(T9 del plan, nuevo; «Pruebas», sección 12, filas 62–64). Escribe =RIESGO.NORMAL(1000;100) en C62 y =RIESGO.DECISION(8;10;12) en C63 (enseña 8, la primera opción). Marca C64 como salida y simula.
- Esperado: tarda unas tres veces lo normal (una simulación por opción). En Resultados, «Comparar decisiones» con tres filas: 8 (en la hoja), 10 y 12, con medias en torno a 8.000, 10.000 y 12.000, y p5 proporcionales (unos 6.680, 8.350 y 10.020): se simuló cada opción con los mismos números aleatorios.
- Pon un umbral en C64 (por ejemplo, por debajo de 9.000) y vuelve a simular: aparece la columna «Umbral» con la probabilidad en cada opción.
- También con textos: =RIESGO.DECISION("Proveedor A";"Proveedor B"), o con un rango (=RIESGO.DECISION(E62:E64)).
- Con el motor Compatible: un aviso claro (las decisiones solo con el rápido).</t>
        </is>
      </c>
      <c r="G124" s="5" t="inlineStr">
        <is>
          <t>(Lo esperado está en los pasos.)</t>
        </is>
      </c>
      <c r="H124" s="5" t="inlineStr">
        <is>
          <t>Pendiente</t>
        </is>
      </c>
      <c r="I124" s="5" t="n"/>
      <c r="J124" s="5" t="n"/>
      <c r="K124" s="7" t="n"/>
    </row>
    <row r="125">
      <c r="A125" s="5" t="n">
        <v>124</v>
      </c>
      <c r="B125" s="5" t="inlineStr">
        <is>
          <t>12. J · Compartir el libro</t>
        </is>
      </c>
      <c r="C125" s="6" t="inlineStr">
        <is>
          <t>J1</t>
        </is>
      </c>
      <c r="D125" s="5" t="inlineStr">
        <is>
          <t>Preparar</t>
        </is>
      </c>
      <c r="E125" s="5" t="inlineStr">
        <is>
          <t>aurora-J.xlsx (copia nueva de aurora-base.xlsx)</t>
        </is>
      </c>
      <c r="F125" s="5" t="inlineStr">
        <is>
          <t>Pestaña Modelo → al final, sección «Compartir el libro» → «Preparar para compartir».
- Esperado:
  - «Convertidas N funciones RIESGO…».
  - Si tienes escritas las secciones 7 y 8 (F12–F19), además: «N celdas con RIESGO dentro de una operación, con parámetros de otras celdas aleatorias o con funciones de resultados (RIESGO.MEDIA…) se quedan con su valor actual». Son C35, C36 y C40–C43; C34 se convierte en entrada.
  - C5 y C6 pasan a ser números (la barra de fórmulas ya no muestra =RIESGO…).
  - En el panel aparecen como entradas.
  - Arriba de la pestaña Modelo sale el botón «Restaurar».</t>
        </is>
      </c>
      <c r="G125" s="5" t="inlineStr">
        <is>
          <t>(Lo esperado está en los pasos.)</t>
        </is>
      </c>
      <c r="H125" s="5" t="inlineStr">
        <is>
          <t>Pendiente</t>
        </is>
      </c>
      <c r="I125" s="5" t="n"/>
      <c r="J125" s="5" t="n"/>
      <c r="K125" s="7" t="n"/>
    </row>
    <row r="126">
      <c r="A126" s="5" t="n">
        <v>125</v>
      </c>
      <c r="B126" s="5" t="inlineStr">
        <is>
          <t>12. J · Compartir el libro</t>
        </is>
      </c>
      <c r="C126" s="6" t="inlineStr">
        <is>
          <t>J2</t>
        </is>
      </c>
      <c r="D126" s="5" t="inlineStr">
        <is>
          <t>Sigue simulando igual</t>
        </is>
      </c>
      <c r="E126" s="5" t="inlineStr">
        <is>
          <t>aurora-J.xlsx (copia nueva de aurora-base.xlsx)</t>
        </is>
      </c>
      <c r="F126" s="5" t="inlineStr">
        <is>
          <t>Con C7 como salida, simula: media en torno a 10.670.</t>
        </is>
      </c>
      <c r="G126" s="5" t="inlineStr">
        <is>
          <t>(Lo esperado está en los pasos.)</t>
        </is>
      </c>
      <c r="H126" s="5" t="inlineStr">
        <is>
          <t>Pendiente</t>
        </is>
      </c>
      <c r="I126" s="5" t="n"/>
      <c r="J126" s="5" t="n"/>
      <c r="K126" s="7" t="n"/>
    </row>
    <row r="127">
      <c r="A127" s="5" t="n">
        <v>126</v>
      </c>
      <c r="B127" s="5" t="inlineStr">
        <is>
          <t>12. J · Compartir el libro</t>
        </is>
      </c>
      <c r="C127" s="6" t="inlineStr">
        <is>
          <t>J3</t>
        </is>
      </c>
      <c r="D127" s="5" t="inlineStr">
        <is>
          <t>Sin el complemento (en el iPad)</t>
        </is>
      </c>
      <c r="E127" s="5" t="inlineStr">
        <is>
          <t>aurora-J.xlsx (copia nueva de aurora-base.xlsx)</t>
        </is>
      </c>
      <c r="F127" s="5" t="inlineStr">
        <is>
          <t>Guarda el libro preparado y ábrelo en el iPad, o donde no esté el complemento.
- Esperado: ningún #¿NOMBRE?; C5, C6 y C7 muestran números.</t>
        </is>
      </c>
      <c r="G127" s="5" t="inlineStr">
        <is>
          <t>(Lo esperado está en los pasos.)</t>
        </is>
      </c>
      <c r="H127" s="5" t="inlineStr">
        <is>
          <t>Pendiente</t>
        </is>
      </c>
      <c r="I127" s="5" t="n"/>
      <c r="J127" s="5" t="n"/>
      <c r="K127" s="7" t="n"/>
    </row>
    <row r="128">
      <c r="A128" s="5" t="n">
        <v>127</v>
      </c>
      <c r="B128" s="5" t="inlineStr">
        <is>
          <t>12. J · Compartir el libro</t>
        </is>
      </c>
      <c r="C128" s="6" t="inlineStr">
        <is>
          <t>J4</t>
        </is>
      </c>
      <c r="D128" s="5" t="inlineStr">
        <is>
          <t>Restaurar</t>
        </is>
      </c>
      <c r="E128" s="5" t="inlineStr">
        <is>
          <t>aurora-J.xlsx (copia nueva de aurora-base.xlsx)</t>
        </is>
      </c>
      <c r="F128" s="5" t="inlineStr">
        <is>
          <t>Pulsa Restaurar las N funciones RIESGO.
- Esperado: C5 y C6 (y C34–C36, C40–C43 si estaban) vuelven a tener sus funciones, y las entradas creadas al preparar desaparecen del panel.</t>
        </is>
      </c>
      <c r="G128" s="5" t="inlineStr">
        <is>
          <t>(Lo esperado está en los pasos.)</t>
        </is>
      </c>
      <c r="H128" s="5" t="inlineStr">
        <is>
          <t>Pendiente</t>
        </is>
      </c>
      <c r="I128" s="5" t="n"/>
      <c r="J128" s="5" t="n"/>
      <c r="K128" s="7" t="n"/>
    </row>
    <row r="129">
      <c r="A129" s="5" t="n">
        <v>128</v>
      </c>
      <c r="B129" s="5" t="inlineStr">
        <is>
          <t>13. Q5–Q26 · Riesgo del cronograma</t>
        </is>
      </c>
      <c r="C129" s="6" t="inlineStr">
        <is>
          <t>Q5</t>
        </is>
      </c>
      <c r="D129" s="5" t="inlineStr">
        <is>
          <t>La cinta</t>
        </is>
      </c>
      <c r="E129" s="5" t="inlineStr">
        <is>
          <t>Libro nuevo en blanco (como el paso 3b)</t>
        </is>
      </c>
      <c r="F129" s="5" t="inlineStr">
        <is>
          <t>En la pestaña Riesgo hay un grupo Cronograma con tres botones: Crear libro de cronograma, Revisar calidad y Simular cronograma. En el panel hay una pestaña nueva, Cronograma.</t>
        </is>
      </c>
      <c r="G129" s="5" t="inlineStr">
        <is>
          <t>(Lo esperado está en los pasos.)</t>
        </is>
      </c>
      <c r="H129" s="5" t="inlineStr">
        <is>
          <t>Pendiente</t>
        </is>
      </c>
      <c r="I129" s="5" t="n"/>
      <c r="J129" s="5" t="n"/>
      <c r="K129" s="7" t="n"/>
    </row>
    <row r="130">
      <c r="A130" s="5" t="n">
        <v>129</v>
      </c>
      <c r="B130" s="5" t="inlineStr">
        <is>
          <t>13. Q5–Q26 · Riesgo del cronograma</t>
        </is>
      </c>
      <c r="C130" s="6" t="inlineStr">
        <is>
          <t>Q6</t>
        </is>
      </c>
      <c r="D130" s="5" t="inlineStr">
        <is>
          <t>Crear el libro</t>
        </is>
      </c>
      <c r="E130" s="5" t="inlineStr">
        <is>
          <t>Libro nuevo en blanco (como el paso 3b)</t>
        </is>
      </c>
      <c r="F130" s="5" t="inlineStr">
        <is>
          <t>Deja el desplegable de ejemplos en «Obra (edificio de 14 actividades)» y pulsa Crear libro de cronograma.</t>
        </is>
      </c>
      <c r="G130" s="5" t="inlineStr">
        <is>
          <t>Esperado: dieciséis hojas nuevas, en este orden: Config, Calendario, Actividades, Relaciones, Incertidumbre, Riesgos, Impactos, Costos, Correlaciones, Lineas_Base, Hitos_Contrato, Clima, Escenarios, Rangos_Tipo, Seguimiento y Ramas, con encabezados azules y un ejemplo de obra de 14 actividades agrupadas en 4 resúmenes (filas «Resumen», que no entran en el cálculo). Comprueba:
- en Actividades, las columnas Tipo, Calendario y Restricción tienen lista desplegable; al elegir una celda de «Duración (días)» sale un mensaje de ayuda;
- en Calendario, dos calendarios (lunes a viernes y lunes a sábado) y, desde la columna J, los festivos de Colombia de cinco años (por ejemplo, el 22/03/2027 San José y el 26/03/2027 Viernes Santo);
- en Costos, siete partidas (administración, interventoría, cimentación, estructura, grúa, fachada, acabados); en Correlaciones, un par (ADM–INT) y dos grupos;
- pulsar el botón otra vez en ese libro dice que ya tiene todas las hojas.</t>
        </is>
      </c>
      <c r="H130" s="5" t="inlineStr">
        <is>
          <t>Pendiente</t>
        </is>
      </c>
      <c r="I130" s="5" t="n"/>
      <c r="J130" s="5" t="n"/>
      <c r="K130" s="7" t="n"/>
    </row>
    <row r="131">
      <c r="A131" s="5" t="n">
        <v>130</v>
      </c>
      <c r="B131" s="5" t="inlineStr">
        <is>
          <t>13. Q5–Q26 · Riesgo del cronograma</t>
        </is>
      </c>
      <c r="C131" s="6" t="inlineStr">
        <is>
          <t>Q7</t>
        </is>
      </c>
      <c r="D131" s="5" t="inlineStr">
        <is>
          <t>Para comparar con mis números</t>
        </is>
      </c>
      <c r="E131" s="5" t="inlineStr">
        <is>
          <t>El libro de Q6 (o cronograma-base.xlsx)</t>
        </is>
      </c>
      <c r="F131" s="5" t="inlineStr">
        <is>
          <t>(imprescindible: si no, todas las fechas dependen del lunes en que creaste el libro). Escribe estas tres fechas, tal cual, y guarda el libro (Ctrl+G):
- Config!B2 (Fecha de inicio): 04/01/2027.
- Config!B9 (Fecha meta): 31/01/2028.
- Hitos_Contrato!B2 (fecha contractual de L, Entrega): 31/01/2028.
Deja el Costo meta (Config!B12) en 5.600.000.000. Guarda una copia de este libro como cronograma-base.xlsx: varias pruebas piden empezar de un libro sin cambios, y así no tienes que repetir estos pasos.</t>
        </is>
      </c>
      <c r="G131" s="5" t="inlineStr">
        <is>
          <t>(Lo esperado está en los pasos.)</t>
        </is>
      </c>
      <c r="H131" s="5" t="inlineStr">
        <is>
          <t>Pendiente</t>
        </is>
      </c>
      <c r="I131" s="5" t="n"/>
      <c r="J131" s="5" t="n"/>
      <c r="K131" s="7" t="n"/>
    </row>
    <row r="132">
      <c r="A132" s="5" t="n">
        <v>131</v>
      </c>
      <c r="B132" s="5" t="inlineStr">
        <is>
          <t>13. Q5–Q26 · Riesgo del cronograma</t>
        </is>
      </c>
      <c r="C132" s="6" t="inlineStr">
        <is>
          <t>Q8</t>
        </is>
      </c>
      <c r="D132" s="5" t="inlineStr">
        <is>
          <t>Revisar calidad</t>
        </is>
      </c>
      <c r="E132" s="5" t="inlineStr">
        <is>
          <t>cronograma-Q.xlsx (copia de cronograma-base.xlsx)</t>
        </is>
      </c>
      <c r="F132" s="5" t="inlineStr">
        <is>
          <t>Revisar calidad.</t>
        </is>
      </c>
      <c r="G132" s="5" t="inlineStr">
        <is>
          <t>Esperado: 1 en rojo («Duraciones mayores de 44 días laborables»: B y E) y 1 en amarillo («Desfases positivos»: 2 de 16 relaciones). La correlación sale en verde (3 definidas) y «Actividades sin incertidumbre» también: Instalaciones (G) toma el rango de la fila «WBS 3».
Dónde está cada cosa (vale para todo el bloque Q y GT):
- Hojas del libro: las pestañas de abajo en Excel (Config, Actividades, Costos, Riesgos…). Las celdas se dan como «Config!B4» = hoja Config, columna B, fila 4.
- Panel: la ventana de la derecha (Riesgo → Modelo la abre). Arriba tiene las pestañas Modelo · Resultados · Cronograma · Diagnóstico y el engranaje ⚙ (Configuración).
- Pestaña Cronograma del panel: los botones (Crear, Revisar calidad, Simular cronograma, Ver Gantt, Importar), la calidad y el Gantt compacto.
- Pestaña Resultados del panel: desde el 06/10, al terminar de simular el cronograma el panel salta solo a Resultados, que empieza con el título «Resultados del cronograma», tres cifras grandes y debajo, en este orden, las secciones: En pocas palabras · Fin del proyecto · Hitos contractuales · Costo del proyecto · Costo y plazo a la vez (JCL) · Antes y después de mitigar · Riesgos: tornado por eliminación · Clima (solo si la hoja Clima tiene datos) · Reserva de contingencia · Riesgos: probabilidad e impacto · Actividades más críticas · Registro de riesgos · Sesgo de convergencia (solo si lo hay) · Rutas críticas más frecuentes · Cronograma ajustado por riesgo · Seguimiento en el tiempo (solo si guardaste algún corte) · Avisos de la simulación y correlación lograda (cerrada: pulsa el ▸ para abrirla) · botones Informe ejecutivo (PDF), Iteraciones en CSV, Guardar en el seguimiento y Ver Gantt.
- Iteraciones, semilla y muestreo del cronograma: en ⚙ → Simulación del cronograma (o en Config!B4, B5 y B6: es lo mismo). La sección «Simulación» de más abajo en ⚙ es la del modelo de celdas RIESGO, no la del cronograma.</t>
        </is>
      </c>
      <c r="H132" s="5" t="inlineStr">
        <is>
          <t>Pendiente</t>
        </is>
      </c>
      <c r="I132" s="5" t="n"/>
      <c r="J132" s="5" t="n"/>
      <c r="K132" s="7" t="n"/>
    </row>
    <row r="133">
      <c r="A133" s="5" t="n">
        <v>132</v>
      </c>
      <c r="B133" s="5" t="inlineStr">
        <is>
          <t>13. Q5–Q26 · Riesgo del cronograma</t>
        </is>
      </c>
      <c r="C133" s="6" t="inlineStr">
        <is>
          <t>Q9</t>
        </is>
      </c>
      <c r="D133" s="5" t="inlineStr">
        <is>
          <t>Simular cronograma</t>
        </is>
      </c>
      <c r="E133" s="5" t="inlineStr">
        <is>
          <t>cronograma-Q.xlsx (copia de cronograma-base.xlsx)</t>
        </is>
      </c>
      <c r="F133" s="5" t="inlineStr">
        <is>
          <t>Comprueba en ⚙ → Simulación del cronograma que dice 5 mil, semilla 12.345 e Hipercubo latino. Vuelve a la pestaña Cronograma y pulsa Simular cronograma. Mientras simula dice «Simulación: … de 5.000 iteraciones» y después «tornado y antes/después de mitigar: vuelta 1 de 6…» (son repeticiones para el tornado, no más iteraciones). Al terminar, el panel pasa a Resultados.</t>
        </is>
      </c>
      <c r="G133" s="5" t="inlineStr">
        <is>
          <t>Esperado exacto:
- Dónde (pestaña Resultados) · Qué · Valor
- Debajo del título · Iteraciones · «5.000 iteraciones · semilla 12345 · hipercubo latino»
- Fin del proyecto · Fecha determinística · 22/11/2027
- Fin del proyecto · Probabilidad de cumplirla · 5,08 %
- Fin del proyecto · Probabilidad de cumplir la meta (31/01/2028) · 65,3 %
- Fin del proyecto · P50 · P80 · 18/01/2028 · 16/02/2028
- Fin del proyecto · Media y desviación · 257 días ± 24,8
- Hitos contractuales · L · Entrega: cumple · Fin P80 · multa esperada · 63,9 % · 17/02/2028 (+17 d) · 35.268.800 COP
- Costo del proyecto · Costo base · P80 · contingencia · 5.034.578.244 · 5.656.960.508 · 622.382.263 COP
- Costo del proyecto · Probabilidad de cumplir el costo meta · 74,7 %
- Costo y plazo a la vez (JCL) · JCL · 58,6 %
- Reserva de contingencia (P80) · Días · 60 días laborables
- Riesgos: tornado · Barras (baja el P80) · R1 8 d, R2 6 d, R3 3 d, R4 0 d
- Riesgos: tornado · Texto debajo · «Sin ningún riesgo, el P80 sería 260,2 días…»
- Fin del proyecto, tabla de percentiles · P80 de «Obra gris terminada» · 20/12/2027
- Rutas críticas más frecuentes · La primera · 62,8 %
En la pestaña Cronograma queda un aviso verde: «Simulado: 5.000 iteraciones. Los resultados están en la pestaña Resultados». Anota cuántos segundos dice la última línea de Resultados.</t>
        </is>
      </c>
      <c r="H133" s="5" t="inlineStr">
        <is>
          <t>Pendiente</t>
        </is>
      </c>
      <c r="I133" s="5" t="n"/>
      <c r="J133" s="5" t="n"/>
      <c r="K133" s="7" t="n"/>
    </row>
    <row r="134">
      <c r="A134" s="5" t="n">
        <v>133</v>
      </c>
      <c r="B134" s="5" t="inlineStr">
        <is>
          <t>13. Q5–Q26 · Riesgo del cronograma</t>
        </is>
      </c>
      <c r="C134" s="6" t="inlineStr">
        <is>
          <t>Q10</t>
        </is>
      </c>
      <c r="D134" s="5" t="inlineStr">
        <is>
          <t>La hoja de resultados</t>
        </is>
      </c>
      <c r="E134" s="5" t="inlineStr">
        <is>
          <t>cronograma-Q.xlsx (copia de cronograma-base.xlsx)</t>
        </is>
      </c>
      <c r="F134" s="5" t="inlineStr">
        <is>
          <t>En Excel, abre la hoja Resultados_Cronograma (se crea o se rehace en cada simulación). Arriba, «Supuestos de la corrida»: Versión del complemento 0.9.0, Iteraciones 5.000, Semilla 12345, Muestreo Hipercubo latino. Debajo, en este orden: En palabras, Advertencias de calidad del cronograma (con su color), el fin y el hito M con P10 a P90, Hitos contractuales, Tornado por eliminación de riesgos (con columnas de costo), Costo del proyecto (COP), Confianza conjunta costo–plazo (JCL), Reserva de contingencia y de dónde sale, Pre y post mitigación, Registro de riesgos, Rutas críticas más frecuentes, Correlación pedida y lograda, Cronograma ajustado por riesgo, Índices por actividad y Convergencia del P80. A la derecha, tres gráficos (curva S del fin, curva S del costo y dispersión costo–fecha).</t>
        </is>
      </c>
      <c r="G134" s="5" t="inlineStr">
        <is>
          <t>(Lo esperado está en los pasos.)</t>
        </is>
      </c>
      <c r="H134" s="5" t="inlineStr">
        <is>
          <t>Pendiente</t>
        </is>
      </c>
      <c r="I134" s="5" t="n"/>
      <c r="J134" s="5" t="n"/>
      <c r="K134" s="7" t="n"/>
    </row>
    <row r="135">
      <c r="A135" s="5" t="n">
        <v>134</v>
      </c>
      <c r="B135" s="5" t="inlineStr">
        <is>
          <t>13. Q5–Q26 · Riesgo del cronograma</t>
        </is>
      </c>
      <c r="C135" s="6" t="inlineStr">
        <is>
          <t>Q11</t>
        </is>
      </c>
      <c r="D135" s="5" t="inlineStr">
        <is>
          <t>Un error lleva a su celda</t>
        </is>
      </c>
      <c r="E135" s="5" t="inlineStr">
        <is>
          <t>cronograma-Q.xlsx (copia de cronograma-base.xlsx)</t>
        </is>
      </c>
      <c r="F135" s="5" t="inlineStr">
        <is>
          <t>Escribe −2 en Actividades!E5 (duración de B, Licencia de construcción) y pulsa Revisar calidad en la pestaña Cronograma.</t>
        </is>
      </c>
      <c r="G135" s="5" t="inlineStr">
        <is>
          <t>Esperado: un recuadro rojo «Hay que corregir el cronograma» con «Actividades, E5: La duración tiene que ser un número mayor o igual que 0». Pulsa el enlace «Actividades, E5»: Excel selecciona E5. Vuelve a escribir 45.</t>
        </is>
      </c>
      <c r="H135" s="5" t="inlineStr">
        <is>
          <t>Pendiente</t>
        </is>
      </c>
      <c r="I135" s="5" t="n"/>
      <c r="J135" s="5" t="n"/>
      <c r="K135" s="7" t="n"/>
    </row>
    <row r="136">
      <c r="A136" s="5" t="n">
        <v>135</v>
      </c>
      <c r="B136" s="5" t="inlineStr">
        <is>
          <t>13. Q5–Q26 · Riesgo del cronograma</t>
        </is>
      </c>
      <c r="C136" s="6" t="inlineStr">
        <is>
          <t>Q12</t>
        </is>
      </c>
      <c r="D136" s="5" t="inlineStr">
        <is>
          <t>Cambiar el calendario</t>
        </is>
      </c>
      <c r="E136" s="5" t="inlineStr">
        <is>
          <t>cronograma-Q.xlsx (copia de cronograma-base.xlsx)</t>
        </is>
      </c>
      <c r="F136" s="5" t="inlineStr">
        <is>
          <t>En Actividades!F9 (calendario de E, Estructura) elige «Lunes a viernes» en la lista y pulsa Simular cronograma.</t>
        </is>
      </c>
      <c r="G136" s="5" t="inlineStr">
        <is>
          <t>Esperado en Resultados → Fin del proyecto: la fecha determinística pasa de 22/11/2027 a 03/12/2027. Vuelve a poner «Lunes a sábado» en F9.</t>
        </is>
      </c>
      <c r="H136" s="5" t="inlineStr">
        <is>
          <t>Pendiente</t>
        </is>
      </c>
      <c r="I136" s="5" t="n"/>
      <c r="J136" s="5" t="n"/>
      <c r="K136" s="7" t="n"/>
    </row>
    <row r="137">
      <c r="A137" s="5" t="n">
        <v>136</v>
      </c>
      <c r="B137" s="5" t="inlineStr">
        <is>
          <t>13. Q5–Q26 · Riesgo del cronograma</t>
        </is>
      </c>
      <c r="C137" s="6" t="inlineStr">
        <is>
          <t>Q13</t>
        </is>
      </c>
      <c r="D137" s="5" t="inlineStr">
        <is>
          <t>Desde la cinta, con el panel cerrado</t>
        </is>
      </c>
      <c r="E137" s="5" t="inlineStr">
        <is>
          <t>cronograma-Q.xlsx (copia de cronograma-base.xlsx)</t>
        </is>
      </c>
      <c r="F137" s="5" t="inlineStr">
        <is>
          <t>Cierra el panel (la ✕ de arriba a la derecha) y pulsa Simular cronograma en la cinta (Riesgo → grupo Cronograma).</t>
        </is>
      </c>
      <c r="G137" s="5" t="inlineStr">
        <is>
          <t>Esperado: se abre el panel, simula y termina en Resultados con las cifras de Q9.</t>
        </is>
      </c>
      <c r="H137" s="5" t="inlineStr">
        <is>
          <t>Pendiente</t>
        </is>
      </c>
      <c r="I137" s="5" t="n"/>
      <c r="J137" s="5" t="n"/>
      <c r="K137" s="7" t="n"/>
    </row>
    <row r="138">
      <c r="A138" s="5" t="n">
        <v>137</v>
      </c>
      <c r="B138" s="5" t="inlineStr">
        <is>
          <t>13. Q5–Q26 · Riesgo del cronograma</t>
        </is>
      </c>
      <c r="C138" s="6" t="inlineStr">
        <is>
          <t>Q14</t>
        </is>
      </c>
      <c r="D138" s="5" t="inlineStr">
        <is>
          <t>Cambiar las iteraciones y cancelar</t>
        </is>
      </c>
      <c r="E138" s="5" t="inlineStr">
        <is>
          <t>cronograma-Q.xlsx (copia de cronograma-base.xlsx)</t>
        </is>
      </c>
      <c r="F138" s="5" t="inlineStr">
        <is>
          <t>En ⚙ → Simulación del cronograma pulsa 50 mil (Config!B4 pasa a 50000). Ve a la pestaña Cronograma, pulsa Simular cronograma y, a mitad de la barra, Cancelar.</t>
        </is>
      </c>
      <c r="G138" s="5" t="inlineStr">
        <is>
          <t>Esperado: «Simulación cancelada.» Vuelve a ⚙ y pulsa 5 mil.</t>
        </is>
      </c>
      <c r="H138" s="5" t="inlineStr">
        <is>
          <t>Pendiente</t>
        </is>
      </c>
      <c r="I138" s="5" t="n"/>
      <c r="J138" s="5" t="n"/>
      <c r="K138" s="7" t="n"/>
    </row>
    <row r="139">
      <c r="A139" s="5" t="n">
        <v>138</v>
      </c>
      <c r="B139" s="5" t="inlineStr">
        <is>
          <t>13. Q5–Q26 · Riesgo del cronograma</t>
        </is>
      </c>
      <c r="C139" s="6" t="inlineStr">
        <is>
          <t>Q15</t>
        </is>
      </c>
      <c r="D139" s="5" t="inlineStr">
        <is>
          <t>Antes y después de mitigar</t>
        </is>
      </c>
      <c r="E139" s="5" t="inlineStr">
        <is>
          <t>cronograma-Q.xlsx (copia de cronograma-base.xlsx)</t>
        </is>
      </c>
      <c r="F139" s="5" t="inlineStr">
        <is>
          <t>Simula (pestaña Cronograma → Simular cronograma) y en Resultados → Antes y después de mitigar comprueba: el P80 del fin pasa de 16/02/2028 a 04/02/2028 (gana 12 días de calendario, 8 laborables) y la probabilidad de cumplir la meta de 65,3 % a 76,1 %. En el costo, la media sube (5,43 a 5,45 mil millones: las mitigaciones cuestan 75 millones) pero el P80 baja un poco (5,657 a 5,653 mil millones), porque terminar antes ahorra multas del contrato en las iteraciones malas. Dos curvas S: la continua es «Esta simulación» y la punteada «Post mitigación».</t>
        </is>
      </c>
      <c r="G139" s="5" t="inlineStr">
        <is>
          <t>(Lo esperado está en los pasos.)</t>
        </is>
      </c>
      <c r="H139" s="5" t="inlineStr">
        <is>
          <t>Pendiente</t>
        </is>
      </c>
      <c r="I139" s="5" t="n"/>
      <c r="J139" s="5" t="n"/>
      <c r="K139" s="7" t="n"/>
    </row>
    <row r="140">
      <c r="A140" s="5" t="n">
        <v>139</v>
      </c>
      <c r="B140" s="5" t="inlineStr">
        <is>
          <t>13. Q5–Q26 · Riesgo del cronograma</t>
        </is>
      </c>
      <c r="C140" s="6" t="inlineStr">
        <is>
          <t>Q16</t>
        </is>
      </c>
      <c r="D140" s="5" t="inlineStr">
        <is>
          <t>Costo por tiempo</t>
        </is>
      </c>
      <c r="E140" s="5" t="inlineStr">
        <is>
          <t>cronograma-Q.xlsx (copia de cronograma-base.xlsx)</t>
        </is>
      </c>
      <c r="F140" s="5" t="inlineStr">
        <is>
          <t>En la hoja Costos, fila 2 (ADM, Administración): cambia E2 de 2500000 a 3500000 y simula.</t>
        </is>
      </c>
      <c r="G140" s="5" t="inlineStr">
        <is>
          <t>Esperado en Resultados → Costo del proyecto: Costo base 5.252.578.244 COP (218 millones más: 1.000.000 × 218 días). Ahora cambia también H2, I2 y J2 (mínimo, más probable y máximo) sumándoles 1.000.000 a cada uno y simula otra vez: el costo base no cambia, pero el P80 y la probabilidad de cumplir el costo meta sí (baja del 74,7 % al 41,7 %). Devuelve E2, H2, I2 y J2 a lo que tenían.</t>
        </is>
      </c>
      <c r="H140" s="5" t="inlineStr">
        <is>
          <t>Pendiente</t>
        </is>
      </c>
      <c r="I140" s="5" t="n"/>
      <c r="J140" s="5" t="n"/>
      <c r="K140" s="7" t="n"/>
    </row>
    <row r="141">
      <c r="A141" s="5" t="n">
        <v>140</v>
      </c>
      <c r="B141" s="5" t="inlineStr">
        <is>
          <t>13. Q5–Q26 · Riesgo del cronograma</t>
        </is>
      </c>
      <c r="C141" s="6" t="inlineStr">
        <is>
          <t>Q17</t>
        </is>
      </c>
      <c r="D141" s="5" t="inlineStr">
        <is>
          <t>Correlación imposible</t>
        </is>
      </c>
      <c r="E141" s="5" t="inlineStr">
        <is>
          <t>cronograma-Q.xlsx (copia de cronograma-base.xlsx)</t>
        </is>
      </c>
      <c r="F141" s="5" t="inlineStr">
        <is>
          <t>En la hoja Correlaciones, debajo del par ADM–INT, escribe tres filas en las columnas A, B y C: D E 0,9 · E H 0,9 · D H -0,9 (la última negativa). Simula.</t>
        </is>
      </c>
      <c r="G141" s="5" t="inlineStr">
        <is>
          <t>Esperado: no falla. En Resultados → Avisos de la simulación y correlación lograda (ábrela con ▸) salen cuatro avisos: tres «La correlación entre D y E está dos veces (0,5 y 0,9); se usa 0,9» (porque D, E y H ya están en el grupo «Obra húmeda» con 0,5, en Correlaciones!E2:G2) y uno «Las correlaciones entre D, E, H no pueden darse a la vez; se usó la matriz posible más cercana (Higham): el coeficiente que más cambió, 0,4». En la tabla de debajo, D–E dice Pedida 0,9 y Aplicada 0,5. Borra las tres filas.</t>
        </is>
      </c>
      <c r="H141" s="5" t="inlineStr">
        <is>
          <t>Pendiente</t>
        </is>
      </c>
      <c r="I141" s="5" t="n"/>
      <c r="J141" s="5" t="n"/>
      <c r="K141" s="7" t="n"/>
    </row>
    <row r="142">
      <c r="A142" s="5" t="n">
        <v>141</v>
      </c>
      <c r="B142" s="5" t="inlineStr">
        <is>
          <t>13. Q5–Q26 · Riesgo del cronograma</t>
        </is>
      </c>
      <c r="C142" s="6" t="inlineStr">
        <is>
          <t>Q18</t>
        </is>
      </c>
      <c r="D142" s="5" t="inlineStr">
        <is>
          <t>Factor por grupo</t>
        </is>
      </c>
      <c r="E142" s="5" t="inlineStr">
        <is>
          <t>cronograma-Q.xlsx (copia de cronograma-base.xlsx)</t>
        </is>
      </c>
      <c r="F142" s="5" t="inlineStr">
        <is>
          <t>Sirve para dar una misma incertidumbre a varias actividades sin escribir una fila por cada una. Pasos:
1. En Actividades!J7 (columna Grupo, fila de C, Adecuación del terreno) escribe Siembra.
2. En la hoja Incertidumbre, borra la fila 4 (la de C): clic derecho en el número 4 → Eliminar.
3. En la primera fila vacía de Incertidumbre escribe: A Grupo Siembra, B Triangular, C 90, D 100, E 200, F % de la base.
4. Pestaña Cronograma → Revisar calidad.
Esperado: en «Calidad del cronograma», «Actividades sin incertidumbre asignada» sale en verde («Todas las tareas tienen una distribución»). Para comparar, si solo haces el paso 2 (sin la fila del grupo), sale en amarillo: «1 de 11 tareas (9 %) con duración fija: C». Deshaz los tres cambios (Ctrl+Z o a mano).</t>
        </is>
      </c>
      <c r="G142" s="5" t="inlineStr">
        <is>
          <t>(Lo esperado va en cada paso numerado.)</t>
        </is>
      </c>
      <c r="H142" s="5" t="inlineStr">
        <is>
          <t>Pendiente</t>
        </is>
      </c>
      <c r="I142" s="5" t="n"/>
      <c r="J142" s="5" t="n"/>
      <c r="K142" s="7" t="n"/>
    </row>
    <row r="143">
      <c r="A143" s="5" t="n">
        <v>142</v>
      </c>
      <c r="B143" s="5" t="inlineStr">
        <is>
          <t>13. Q5–Q26 · Riesgo del cronograma</t>
        </is>
      </c>
      <c r="C143" s="6" t="inlineStr">
        <is>
          <t>Q19</t>
        </is>
      </c>
      <c r="D143" s="5" t="inlineStr">
        <is>
          <t>Riesgo como actividad insertada</t>
        </is>
      </c>
      <c r="E143" s="5" t="inlineStr">
        <is>
          <t>cronograma-Q.xlsx (copia de cronograma-base.xlsx)</t>
        </is>
      </c>
      <c r="F143" s="5" t="inlineStr">
        <is>
          <t>En la hoja Riesgos, celda L4 (columna Modo, fila de R3), elige «Actividad insertada» y simula.</t>
        </is>
      </c>
      <c r="G143" s="5" t="inlineStr">
        <is>
          <t>Esperado: en la hoja Resultados_Cronograma, tabla «Índices por actividad», aparece una fila R3@D · Riesgo R3: Suelo más blando de lo previsto (tras D). Vuelve a poner «Extiende actividades» en L4.</t>
        </is>
      </c>
      <c r="H143" s="5" t="inlineStr">
        <is>
          <t>Pendiente</t>
        </is>
      </c>
      <c r="I143" s="5" t="n"/>
      <c r="J143" s="5" t="n"/>
      <c r="K143" s="7" t="n"/>
    </row>
    <row r="144">
      <c r="A144" s="5" t="n">
        <v>143</v>
      </c>
      <c r="B144" s="5" t="inlineStr">
        <is>
          <t>13. Q5–Q26 · Riesgo del cronograma</t>
        </is>
      </c>
      <c r="C144" s="6" t="inlineStr">
        <is>
          <t>Q20</t>
        </is>
      </c>
      <c r="D144" s="5" t="inlineStr">
        <is>
          <t>Ramificación</t>
        </is>
      </c>
      <c r="E144" s="5" t="inlineStr">
        <is>
          <t>cronograma-Q.xlsx (copia de cronograma-base.xlsx)</t>
        </is>
      </c>
      <c r="F144" s="5" t="inlineStr">
        <is>
          <t>Una rama es una decisión que aún no se conoce: en cada iteración se sortea una opción y solo cuentan sus actividades. Antes de nada, anota de Resultados el P50, el P80 y la probabilidad de la meta (18/01/2028, 16/02/2028, 65,3 %). Después, en la hoja Ramas, filas 2 y 3, columnas A a D:
- A Rama · B Opción · C Probabilidad · D Actividades
- Licencia · Trámite normal · 70 % · B
- Licencia · Ya aprobada · 30 % · C
Simula.</t>
        </is>
      </c>
      <c r="G144" s="5" t="inlineStr">
        <is>
          <t>Esperado en Resultados: Fin del proyecto P50 · P80 = 27/12/2027 · 07/02/2028 y probabilidad de cumplir la meta 75,2 % (antes 65,3 %): en el 30 % de las iteraciones no hay trámite de licencia. En Actividades más críticas, B baja de 84 % a 59 % de criticidad y C sube de 0 % a 24 %. Cambia C3 a 40 % y simula: sale el error «Las opciones de la rama «Licencia» suman 110 %; tienen que sumar 100 %». Borra las dos filas.</t>
        </is>
      </c>
      <c r="H144" s="5" t="inlineStr">
        <is>
          <t>Pendiente</t>
        </is>
      </c>
      <c r="I144" s="5" t="n"/>
      <c r="J144" s="5" t="n"/>
      <c r="K144" s="7" t="n"/>
    </row>
    <row r="145">
      <c r="A145" s="5" t="n">
        <v>144</v>
      </c>
      <c r="B145" s="5" t="inlineStr">
        <is>
          <t>13. Q5–Q26 · Riesgo del cronograma</t>
        </is>
      </c>
      <c r="C145" s="6" t="inlineStr">
        <is>
          <t>Q21</t>
        </is>
      </c>
      <c r="D145" s="5" t="inlineStr">
        <is>
          <t>Iteraciones automáticas</t>
        </is>
      </c>
      <c r="E145" s="5" t="inlineStr">
        <is>
          <t>cronograma-Q.xlsx (copia de cronograma-base.xlsx)</t>
        </is>
      </c>
      <c r="F145" s="5" t="inlineStr">
        <is>
          <t>En ⚙ → Simulación del cronograma pulsa Automático (Config!B4 pasa a «Automático») y simula.</t>
        </is>
      </c>
      <c r="G145" s="5" t="inlineStr">
        <is>
          <t>Esperado: en Resultados, justo debajo del título, un aviso verde «Iteraciones automáticas: el P80 se estabilizó con 2.000 iteraciones (cambió 0,36 % en el último bloque)», y la línea de iteraciones dice 2.000. Vuelve a 5 mil.</t>
        </is>
      </c>
      <c r="H145" s="5" t="inlineStr">
        <is>
          <t>Pendiente</t>
        </is>
      </c>
      <c r="I145" s="5" t="n"/>
      <c r="J145" s="5" t="n"/>
      <c r="K145" s="7" t="n"/>
    </row>
    <row r="146">
      <c r="A146" s="5" t="n">
        <v>145</v>
      </c>
      <c r="B146" s="5" t="inlineStr">
        <is>
          <t>13. Q5–Q26 · Riesgo del cronograma</t>
        </is>
      </c>
      <c r="C146" s="6" t="inlineStr">
        <is>
          <t>Q22</t>
        </is>
      </c>
      <c r="D146" s="5" t="inlineStr">
        <is>
          <t>Informe ejecutivo</t>
        </is>
      </c>
      <c r="E146" s="5" t="inlineStr">
        <is>
          <t>cronograma-Q.xlsx (copia de cronograma-base.xlsx)</t>
        </is>
      </c>
      <c r="F146" s="5" t="inlineStr">
        <is>
          <t>Al final de Resultados pulsa Informe ejecutivo (PDF): se abre en el navegador con supuestos, advertencias, fecha de fin, costo, JCL, pre/post, los riesgos, las actividades más críticas y las rutas; «Imprimir o guardar como PDF» lo deja en A4.</t>
        </is>
      </c>
      <c r="G146" s="5" t="inlineStr">
        <is>
          <t>(Lo esperado está en los pasos.)</t>
        </is>
      </c>
      <c r="H146" s="5" t="inlineStr">
        <is>
          <t>Pendiente</t>
        </is>
      </c>
      <c r="I146" s="5" t="n"/>
      <c r="J146" s="5" t="n"/>
      <c r="K146" s="7" t="n"/>
    </row>
    <row r="147">
      <c r="A147" s="5" t="n">
        <v>146</v>
      </c>
      <c r="B147" s="5" t="inlineStr">
        <is>
          <t>13. Q5–Q26 · Riesgo del cronograma</t>
        </is>
      </c>
      <c r="C147" s="6" t="inlineStr">
        <is>
          <t>Q23</t>
        </is>
      </c>
      <c r="D147" s="5" t="inlineStr">
        <is>
          <t>CSV</t>
        </is>
      </c>
      <c r="E147" s="5" t="inlineStr">
        <is>
          <t>cronograma-Q.xlsx (copia de cronograma-base.xlsx)</t>
        </is>
      </c>
      <c r="F147" s="5" t="inlineStr">
        <is>
          <t>Al final de Resultados pulsa Iteraciones en CSV: se descarga iteraciones-cronograma.csv (5.000 filas, separado por «;», se abre con Excel).</t>
        </is>
      </c>
      <c r="G147" s="5" t="inlineStr">
        <is>
          <t>(Lo esperado está en los pasos.)</t>
        </is>
      </c>
      <c r="H147" s="5" t="inlineStr">
        <is>
          <t>Pendiente</t>
        </is>
      </c>
      <c r="I147" s="5" t="n"/>
      <c r="J147" s="5" t="n"/>
      <c r="K147" s="7" t="n"/>
    </row>
    <row r="148">
      <c r="A148" s="5" t="n">
        <v>147</v>
      </c>
      <c r="B148" s="5" t="inlineStr">
        <is>
          <t>13. Q5–Q26 · Riesgo del cronograma</t>
        </is>
      </c>
      <c r="C148" s="6" t="inlineStr">
        <is>
          <t>Q24</t>
        </is>
      </c>
      <c r="D148" s="5" t="inlineStr">
        <is>
          <t>Importar de MS Project</t>
        </is>
      </c>
      <c r="E148" s="5" t="inlineStr">
        <is>
          <t>cronograma-Q.xlsx + tests\fixtures\qrsa\R2-relaciones.xml y R3-calendario.xml</t>
        </is>
      </c>
      <c r="F148" s="5" t="inlineStr">
        <is>
          <t>Pestaña Cronograma → Importar MS Project o P6… y elige, en la carpeta del proyecto, tests\fixtures\qrsa\R2-relaciones.xml.</t>
        </is>
      </c>
      <c r="G148" s="5" t="inlineStr">
        <is>
          <t>Esperado: «MS Project XML: 7 actividades, 1 hito, 9 relaciones, 1 calendario; empieza el 04/01/2027». Pulsa Empezar de cero y simula: Resultados → Fin del proyecto, fecha determinística 25/02/2027. Prueba también Reemplazar con R3-calendario.xml: como Incertidumbre y Riesgos remiten a las actividades de antes, salen errores con su celda (eso es lo esperado).</t>
        </is>
      </c>
      <c r="H148" s="5" t="inlineStr">
        <is>
          <t>Pendiente</t>
        </is>
      </c>
      <c r="I148" s="5" t="n"/>
      <c r="J148" s="5" t="n"/>
      <c r="K148" s="7" t="n"/>
    </row>
    <row r="149">
      <c r="A149" s="5" t="n">
        <v>148</v>
      </c>
      <c r="B149" s="5" t="inlineStr">
        <is>
          <t>13. Q5–Q26 · Riesgo del cronograma</t>
        </is>
      </c>
      <c r="C149" s="6" t="inlineStr">
        <is>
          <t>Q25</t>
        </is>
      </c>
      <c r="D149" s="5" t="inlineStr">
        <is>
          <t>Importar de Primavera P6</t>
        </is>
      </c>
      <c r="E149" s="5" t="inlineStr">
        <is>
          <t>Libro nuevo en blanco + tests\fixtures\qrsa\R1-simple.xer</t>
        </is>
      </c>
      <c r="F149" s="5" t="inlineStr">
        <is>
          <t>En un libro nuevo en blanco, pestaña Cronograma → Importar → tests\fixtures\qrsa\R1-simple.xer → Crear las hojas, y simula: fecha determinística 21/01/2027.</t>
        </is>
      </c>
      <c r="G149" s="5" t="inlineStr">
        <is>
          <t>(Lo esperado está en los pasos.)</t>
        </is>
      </c>
      <c r="H149" s="5" t="inlineStr">
        <is>
          <t>Pendiente</t>
        </is>
      </c>
      <c r="I149" s="5" t="n"/>
      <c r="J149" s="5" t="n"/>
      <c r="K149" s="7" t="n"/>
    </row>
    <row r="150">
      <c r="A150" s="5" t="n">
        <v>149</v>
      </c>
      <c r="B150" s="5" t="inlineStr">
        <is>
          <t>13. Q5–Q26 · Riesgo del cronograma</t>
        </is>
      </c>
      <c r="C150" s="6" t="inlineStr">
        <is>
          <t>Q26</t>
        </is>
      </c>
      <c r="D150" s="5" t="inlineStr">
        <is>
          <t>Un libro de una versión anterior</t>
        </is>
      </c>
      <c r="E150" s="5" t="inlineStr">
        <is>
          <t>Un libro de cronograma de antes del 05/10 (si tienes)</t>
        </is>
      </c>
      <c r="F150" s="5" t="inlineStr">
        <is>
          <t>Solo si tienes un libro de cronograma creado antes del 05/10 (sin Costos, Correlaciones ni Ramas): el primer botón dice Añadir las hojas que faltan y las añade vacías. Si no tienes ninguno, márcala «no aplica».</t>
        </is>
      </c>
      <c r="G150" s="5" t="inlineStr">
        <is>
          <t>(Lo esperado está en los pasos.)</t>
        </is>
      </c>
      <c r="H150" s="5" t="inlineStr">
        <is>
          <t>Pendiente</t>
        </is>
      </c>
      <c r="I150" s="5" t="n"/>
      <c r="J150" s="5" t="n"/>
      <c r="K150" s="7" t="n"/>
    </row>
    <row r="151">
      <c r="A151" s="5" t="n">
        <v>150</v>
      </c>
      <c r="B151" s="5" t="inlineStr">
        <is>
          <t>14. GT1–GT18 · Gantt</t>
        </is>
      </c>
      <c r="C151" s="6" t="inlineStr">
        <is>
          <t>GT1</t>
        </is>
      </c>
      <c r="D151" s="5" t="inlineStr">
        <is>
          <t>El botón y la vista compacta</t>
        </is>
      </c>
      <c r="E151" s="5" t="inlineStr">
        <is>
          <t>cronograma-GT1.xlsx (copia de cronograma-base.xlsx)</t>
        </is>
      </c>
      <c r="F151" s="5" t="inlineStr">
        <is>
          <t>En el grupo Cronograma de la cinta hay un botón nuevo, Gantt. Abre antes la pestaña Cronograma del panel: sin revisar ni simular aparece Diagrama de Gantt con las barras de las 18 filas, los nombres a la derecha, los resúmenes como corchetes negros y las flechas. Rojo es crítica, naranja casi crítica (E y G), azul el resto (C e I).</t>
        </is>
      </c>
      <c r="G151" s="5" t="inlineStr">
        <is>
          <t>(Lo esperado está en los pasos.)</t>
        </is>
      </c>
      <c r="H151" s="5" t="inlineStr">
        <is>
          <t>Pendiente</t>
        </is>
      </c>
      <c r="I151" s="5" t="n"/>
      <c r="J151" s="5" t="n"/>
      <c r="K151" s="7" t="n"/>
    </row>
    <row r="152">
      <c r="A152" s="5" t="n">
        <v>151</v>
      </c>
      <c r="B152" s="5" t="inlineStr">
        <is>
          <t>14. GT1–GT18 · Gantt</t>
        </is>
      </c>
      <c r="C152" s="6" t="inlineStr">
        <is>
          <t>GT2</t>
        </is>
      </c>
      <c r="D152" s="5" t="inlineStr">
        <is>
          <t>La ventana</t>
        </is>
      </c>
      <c r="E152" s="5" t="inlineStr">
        <is>
          <t>cronograma-GT1.xlsx (copia de cronograma-base.xlsx)</t>
        </is>
      </c>
      <c r="F152" s="5" t="inlineStr">
        <is>
          <t>Pulsa Gantt en la cinta (o Ver Gantt en el panel). Se abre la ventana flotante en la pestaña Gantt (la misma ventana del explorador: Office deja una sola).</t>
        </is>
      </c>
      <c r="G152" s="5" t="inlineStr">
        <is>
          <t>Esperado en la línea de estado: «Ruta crítica: holgura total ≤ 0 · 10 críticas · fin 22/11/2027 · meta 31/01/2028» y «18 filas · 16 vínculos · calculado en … ms». En la tabla: E con holgura total 1 y G con 5 (naranjas), C con 31 e I con 30. Anota cuántos ms dice y en qué Excel (Windows, Mac o Web).</t>
        </is>
      </c>
      <c r="H152" s="5" t="inlineStr">
        <is>
          <t>Pendiente</t>
        </is>
      </c>
      <c r="I152" s="5" t="n"/>
      <c r="J152" s="5" t="n"/>
      <c r="K152" s="7" t="n"/>
    </row>
    <row r="153">
      <c r="A153" s="5" t="n">
        <v>152</v>
      </c>
      <c r="B153" s="5" t="inlineStr">
        <is>
          <t>14. GT1–GT18 · Gantt</t>
        </is>
      </c>
      <c r="C153" s="6" t="inlineStr">
        <is>
          <t>GT3</t>
        </is>
      </c>
      <c r="D153" s="5" t="inlineStr">
        <is>
          <t>Escala de tiempo</t>
        </is>
      </c>
      <c r="E153" s="5" t="inlineStr">
        <is>
          <t>cronograma-GT1.xlsx (copia de cronograma-base.xlsx)</t>
        </is>
      </c>
      <c r="F153" s="5" t="inlineStr">
        <is>
          <t>Ajustar todo enseña el proyecto entero. Prueba −, +, el desplegable (Años, Trimestres, Meses, Semanas, Días) y Ctrl + rueda sobre el diagrama. En Semanas o Días se ven sombreados los sábados, domingos y festivos (por ejemplo el lunes 11/01/2027, Reyes). Hay líneas punteadas grises en el inicio y el fin, morada en la meta y verde continua en hoy. Hoy lleva a la fecha de hoy.</t>
        </is>
      </c>
      <c r="G153" s="5" t="inlineStr">
        <is>
          <t>(Lo esperado está en los pasos.)</t>
        </is>
      </c>
      <c r="H153" s="5" t="inlineStr">
        <is>
          <t>Pendiente</t>
        </is>
      </c>
      <c r="I153" s="5" t="n"/>
      <c r="J153" s="5" t="n"/>
      <c r="K153" s="7" t="n"/>
    </row>
    <row r="154">
      <c r="A154" s="5" t="n">
        <v>153</v>
      </c>
      <c r="B154" s="5" t="inlineStr">
        <is>
          <t>14. GT1–GT18 · Gantt</t>
        </is>
      </c>
      <c r="C154" s="6" t="inlineStr">
        <is>
          <t>GT4</t>
        </is>
      </c>
      <c r="D154" s="5" t="inlineStr">
        <is>
          <t>Flechas y tooltip</t>
        </is>
      </c>
      <c r="E154" s="5" t="inlineStr">
        <is>
          <t>cronograma-GT1.xlsx (copia de cronograma-base.xlsx)</t>
        </is>
      </c>
      <c r="F154" s="5" t="inlineStr">
        <is>
          <t>Pasa el ratón por la barra de H: tooltip con fechas 09/08/2027 – 27/09/2027 (35 d), holgura 0, «Predecesoras: F CC+5d». Pasa el ratón por la flecha de F a H: «F → H · CC +5 días», holgura de la relación 0, impulsora. La flecha sale del comienzo de F (CC) y la de E a F (FC+7 días calendario) del final de E. Las flechas impulsoras entre críticas son rojas; C → D (holgura 31) es gris.</t>
        </is>
      </c>
      <c r="G154" s="5" t="inlineStr">
        <is>
          <t>(Lo esperado está en los pasos.)</t>
        </is>
      </c>
      <c r="H154" s="5" t="inlineStr">
        <is>
          <t>Pendiente</t>
        </is>
      </c>
      <c r="I154" s="5" t="n"/>
      <c r="J154" s="5" t="n"/>
      <c r="K154" s="7" t="n"/>
    </row>
    <row r="155">
      <c r="A155" s="5" t="n">
        <v>154</v>
      </c>
      <c r="B155" s="5" t="inlineStr">
        <is>
          <t>14. GT1–GT18 · Gantt</t>
        </is>
      </c>
      <c r="C155" s="6" t="inlineStr">
        <is>
          <t>GT5</t>
        </is>
      </c>
      <c r="D155" s="5" t="inlineStr">
        <is>
          <t>Las dos definiciones de ruta crítica</t>
        </is>
      </c>
      <c r="E155" s="5" t="inlineStr">
        <is>
          <t>cronograma-GT1.xlsx (copia de cronograma-base.xlsx)</t>
        </is>
      </c>
      <c r="F155" s="5" t="inlineStr">
        <is>
          <t>Cambia Crítica: a Ruta más larga.</t>
        </is>
      </c>
      <c r="G155" s="5" t="inlineStr">
        <is>
          <t>Esperado: 11 críticas, ahora también E. Es el caso que explica la especificación: E va en el calendario de lunes a sábado y le queda un sábado de holgura, pero es la que de verdad impulsa el fin. Vuelve a «Holgura total ≤ 0».</t>
        </is>
      </c>
      <c r="H155" s="5" t="inlineStr">
        <is>
          <t>Pendiente</t>
        </is>
      </c>
      <c r="I155" s="5" t="n"/>
      <c r="J155" s="5" t="n"/>
      <c r="K155" s="7" t="n"/>
    </row>
    <row r="156">
      <c r="A156" s="5" t="n">
        <v>155</v>
      </c>
      <c r="B156" s="5" t="inlineStr">
        <is>
          <t>14. GT1–GT18 · Gantt</t>
        </is>
      </c>
      <c r="C156" s="6" t="inlineStr">
        <is>
          <t>GT6</t>
        </is>
      </c>
      <c r="D156" s="5" t="inlineStr">
        <is>
          <t>Filtros, búsqueda y plegar</t>
        </is>
      </c>
      <c r="E156" s="5" t="inlineStr">
        <is>
          <t>cronograma-GT1.xlsx (copia de cronograma-base.xlsx)</t>
        </is>
      </c>
      <c r="F156" s="5" t="inlineStr">
        <is>
          <t>«Solo ruta crítica» deja las 10 críticas (sin resúmenes); «Crítica + casi crítica», 12. Vuelve a «Todas». Escribe H en Buscar y Enter: selecciona H. Pulsa ▾ junto a «Obra gris»: sus cuatro hijas se pliegan.</t>
        </is>
      </c>
      <c r="G156" s="5" t="inlineStr">
        <is>
          <t>(Lo esperado está en los pasos.)</t>
        </is>
      </c>
      <c r="H156" s="5" t="inlineStr">
        <is>
          <t>Pendiente</t>
        </is>
      </c>
      <c r="I156" s="5" t="n"/>
      <c r="J156" s="5" t="n"/>
      <c r="K156" s="7" t="n"/>
    </row>
    <row r="157">
      <c r="A157" s="5" t="n">
        <v>156</v>
      </c>
      <c r="B157" s="5" t="inlineStr">
        <is>
          <t>14. GT1–GT18 · Gantt</t>
        </is>
      </c>
      <c r="C157" s="6" t="inlineStr">
        <is>
          <t>GT7</t>
        </is>
      </c>
      <c r="D157" s="5" t="inlineStr">
        <is>
          <t>¿Por qué es crítica? y ruta impulsora</t>
        </is>
      </c>
      <c r="E157" s="5" t="inlineStr">
        <is>
          <t>cronograma-GT1.xlsx (copia de cronograma-base.xlsx)</t>
        </is>
      </c>
      <c r="F157" s="5" t="inlineStr">
        <is>
          <t>Selecciona H y abre Diagnóstico en Detalles: «No tiene holgura: cualquier retraso mueve el fin del proyecto. Su inicio lo fija F (CC+5d); a su vez fija el inicio de M.» Selecciona E: «Tiene 1 días de holgura. Su inicio lo fija D (FC); a su vez fija el inicio de F, I.» Selecciona L y pulsa Ruta impulsora hacia aquí: quedan resaltadas 11 actividades (INI, A, B, D, E, F, H, M, J, K, L) y el resto atenuado; «quitar» lo deshace. Con M resalta 8. Prueba también Aguas arriba y Aguas abajo.</t>
        </is>
      </c>
      <c r="G157" s="5" t="inlineStr">
        <is>
          <t>(Lo esperado está en los pasos.)</t>
        </is>
      </c>
      <c r="H157" s="5" t="inlineStr">
        <is>
          <t>Pendiente</t>
        </is>
      </c>
      <c r="I157" s="5" t="n"/>
      <c r="J157" s="5" t="n"/>
      <c r="K157" s="7" t="n"/>
    </row>
    <row r="158">
      <c r="A158" s="5" t="n">
        <v>157</v>
      </c>
      <c r="B158" s="5" t="inlineStr">
        <is>
          <t>14. GT1–GT18 · Gantt</t>
        </is>
      </c>
      <c r="C158" s="6" t="inlineStr">
        <is>
          <t>GT8</t>
        </is>
      </c>
      <c r="D158" s="5" t="inlineStr">
        <is>
          <t>Editar en la tabla y deshacer</t>
        </is>
      </c>
      <c r="E158" s="5" t="inlineStr">
        <is>
          <t>cronograma-GT1.xlsx (copia de cronograma-base.xlsx)</t>
        </is>
      </c>
      <c r="F158" s="5" t="inlineStr">
        <is>
          <t>Doble clic en la duración de E (Estructura), escribe 60 y Enter. Esperado: «Duración de E: escrito en las hojas», fin 02/12/2027, y en la hoja Actividades la duración de E es
60. Pulsa Ctrl+Z (o ↶): «Deshecho: Duración de E», fin 22/11/2027 y la hoja vuelve a 50. Ctrl+Y lo rehace; deshazlo otra vez.</t>
        </is>
      </c>
      <c r="G158" s="5" t="inlineStr">
        <is>
          <t>(Lo esperado va en cada paso numerado.)</t>
        </is>
      </c>
      <c r="H158" s="5" t="inlineStr">
        <is>
          <t>Pendiente</t>
        </is>
      </c>
      <c r="I158" s="5" t="n"/>
      <c r="J158" s="5" t="n"/>
      <c r="K158" s="7" t="n"/>
    </row>
    <row r="159">
      <c r="A159" s="5" t="n">
        <v>158</v>
      </c>
      <c r="B159" s="5" t="inlineStr">
        <is>
          <t>14. GT1–GT18 · Gantt</t>
        </is>
      </c>
      <c r="C159" s="6" t="inlineStr">
        <is>
          <t>GT9</t>
        </is>
      </c>
      <c r="D159" s="5" t="inlineStr">
        <is>
          <t>Un ciclo se rechaza</t>
        </is>
      </c>
      <c r="E159" s="5" t="inlineStr">
        <is>
          <t>cronograma-GT1.xlsx (copia de cronograma-base.xlsx)</t>
        </is>
      </c>
      <c r="F159" s="5" t="inlineStr">
        <is>
          <t>Doble clic en Predecesoras de A, escribe INI; L y Enter.</t>
        </is>
      </c>
      <c r="G159" s="5" t="inlineStr">
        <is>
          <t>Esperado: «Hay un ciclo en las relaciones: B → D → E → F → G → J → K → L → A → B» en rojo, y nada cambia en Relaciones. Prueba también INI; ZZ (no existe) y INI;;X?! (no se entiende).</t>
        </is>
      </c>
      <c r="H159" s="5" t="inlineStr">
        <is>
          <t>Pendiente</t>
        </is>
      </c>
      <c r="I159" s="5" t="n"/>
      <c r="J159" s="5" t="n"/>
      <c r="K159" s="7" t="n"/>
    </row>
    <row r="160">
      <c r="A160" s="5" t="n">
        <v>159</v>
      </c>
      <c r="B160" s="5" t="inlineStr">
        <is>
          <t>14. GT1–GT18 · Gantt</t>
        </is>
      </c>
      <c r="C160" s="6" t="inlineStr">
        <is>
          <t>GT10</t>
        </is>
      </c>
      <c r="D160" s="5" t="inlineStr">
        <is>
          <t>Restricción al mover una barra</t>
        </is>
      </c>
      <c r="E160" s="5" t="inlineStr">
        <is>
          <t>cronograma-GT1.xlsx (copia de cronograma-base.xlsx)</t>
        </is>
      </c>
      <c r="F160" s="5" t="inlineStr">
        <is>
          <t>Arrastra el centro de la barra de G unas semanas a la derecha y suelta: sale un aviso amarillo «Mover G al … fija la restricción «No comenzar antes de» …». Pulsa Cancelar: no cambia nada. Ahora en Detalles → General de G elige «No comenzar antes de», escribe 01/09/2027 y Aplicar.</t>
        </is>
      </c>
      <c r="G160" s="5" t="inlineStr">
        <is>
          <t>Esperado: fin 07/12/2027, G pasa a roja (holgura 0) y aparece una marca morada al comienzo de su barra; en la hoja, Restricción y su fecha llenas. Deshaz.</t>
        </is>
      </c>
      <c r="H160" s="5" t="inlineStr">
        <is>
          <t>Pendiente</t>
        </is>
      </c>
      <c r="I160" s="5" t="n"/>
      <c r="J160" s="5" t="n"/>
      <c r="K160" s="7" t="n"/>
    </row>
    <row r="161">
      <c r="A161" s="5" t="n">
        <v>160</v>
      </c>
      <c r="B161" s="5" t="inlineStr">
        <is>
          <t>14. GT1–GT18 · Gantt</t>
        </is>
      </c>
      <c r="C161" s="6" t="inlineStr">
        <is>
          <t>GT11</t>
        </is>
      </c>
      <c r="D161" s="5" t="inlineStr">
        <is>
          <t>Duración arrastrando y vínculo arrastrando</t>
        </is>
      </c>
      <c r="E161" s="5" t="inlineStr">
        <is>
          <t>cronograma-GT1.xlsx (copia de cronograma-base.xlsx)</t>
        </is>
      </c>
      <c r="F161" s="5" t="inlineStr">
        <is>
          <t>Arrastra el borde derecho de la barra de C (el cursor cambia a ↔): al soltar cambia su duración. Deshaz. Pon el ratón justo a la derecha de la barra de C (cursor de cruz) y arrastra hasta la mitad izquierda de la barra de I: se crea C → I fin–comienzo («E; C» en Predecesoras de I y una fila nueva en Relaciones). Si sueltas en la mitad derecha, sale FF. Repetirlo dice «Ya existe un vínculo de C a I». Clic en esa flecha, Supr: se borra. Deshaz lo que quede.</t>
        </is>
      </c>
      <c r="G161" s="5" t="inlineStr">
        <is>
          <t>(Lo esperado está en los pasos.)</t>
        </is>
      </c>
      <c r="H161" s="5" t="inlineStr">
        <is>
          <t>Pendiente</t>
        </is>
      </c>
      <c r="I161" s="5" t="n"/>
      <c r="J161" s="5" t="n"/>
      <c r="K161" s="7" t="n"/>
    </row>
    <row r="162">
      <c r="A162" s="5" t="n">
        <v>161</v>
      </c>
      <c r="B162" s="5" t="inlineStr">
        <is>
          <t>14. GT1–GT18 · Gantt</t>
        </is>
      </c>
      <c r="C162" s="6" t="inlineStr">
        <is>
          <t>GT12</t>
        </is>
      </c>
      <c r="D162" s="5" t="inlineStr">
        <is>
          <t>Insertar, borrar, sangría y mover</t>
        </is>
      </c>
      <c r="E162" s="5" t="inlineStr">
        <is>
          <t>cronograma-GT1.xlsx (copia de cronograma-base.xlsx)</t>
        </is>
      </c>
      <c r="F162" s="5" t="inlineStr">
        <is>
          <t>Selecciona D y pulsa + Tarea: aparece N1 «Nueva actividad» con WBS 2.3 (E pasa a 2.4, F a 2.5) y una marca (⚠ o !) en la primera columna (sin predecesora ni sucesora). Deshaz. Selecciona B y pulsa ⇥ (aumentar sangría): B queda 1.1.1 y A pasa a resumen; en Calidad, «Vínculos a actividades resumen» se pone en rojo con «INI → A, A → B, A → C». Deshaz. Prueba ↑/↓ con una actividad y Borrar (pide confirmación; borra también sus vínculos y su incertidumbre). Deshaz todo hasta volver a 18 filas y fin 22/11/2027.</t>
        </is>
      </c>
      <c r="G162" s="5" t="inlineStr">
        <is>
          <t>(Lo esperado está en los pasos.)</t>
        </is>
      </c>
      <c r="H162" s="5" t="inlineStr">
        <is>
          <t>Pendiente</t>
        </is>
      </c>
      <c r="I162" s="5" t="n"/>
      <c r="J162" s="5" t="n"/>
      <c r="K162" s="7" t="n"/>
    </row>
    <row r="163">
      <c r="A163" s="5" t="n">
        <v>162</v>
      </c>
      <c r="B163" s="5" t="inlineStr">
        <is>
          <t>14. GT1–GT18 · Gantt</t>
        </is>
      </c>
      <c r="C163" s="6" t="inlineStr">
        <is>
          <t>GT13</t>
        </is>
      </c>
      <c r="D163" s="5" t="inlineStr">
        <is>
          <t>Fecha límite y holgura negativa</t>
        </is>
      </c>
      <c r="E163" s="5" t="inlineStr">
        <is>
          <t>cronograma-GT1.xlsx (copia de cronograma-base.xlsx)</t>
        </is>
      </c>
      <c r="F163" s="5" t="inlineStr">
        <is>
          <t>En Detalles → General de L, escribe en Fecha límite 01/11/2027 y sal del campo.</t>
        </is>
      </c>
      <c r="G163" s="5" t="inlineStr">
        <is>
          <t>Esperado: L con holgura −14 y la ruta en barras rojas rayadas con borde oscuro, una flecha azul hacia abajo sobre L (roja si se incumple) y en Diagnóstico: «Tiene holgura negativa (-14 días) por L (fecha límite)…». Deshaz.</t>
        </is>
      </c>
      <c r="H163" s="5" t="inlineStr">
        <is>
          <t>Pendiente</t>
        </is>
      </c>
      <c r="I163" s="5" t="n"/>
      <c r="J163" s="5" t="n"/>
      <c r="K163" s="7" t="n"/>
    </row>
    <row r="164">
      <c r="A164" s="5" t="n">
        <v>163</v>
      </c>
      <c r="B164" s="5" t="inlineStr">
        <is>
          <t>14. GT1–GT18 · Gantt</t>
        </is>
      </c>
      <c r="C164" s="6" t="inlineStr">
        <is>
          <t>GT14</t>
        </is>
      </c>
      <c r="D164" s="5" t="inlineStr">
        <is>
          <t>Calidad con semáforo</t>
        </is>
      </c>
      <c r="E164" s="5" t="inlineStr">
        <is>
          <t>cronograma-GT1.xlsx (copia de cronograma-base.xlsx)</t>
        </is>
      </c>
      <c r="F164" s="5" t="inlineStr">
        <is>
          <t>Abajo, «Calidad del cronograma» con 1 rojo y 2 amarillos: rojo «Duraciones largas» (B, E); amarillos «Desfases positivos» (2 de 16) y «Proporción de actividades críticas» (10 de 14, 71 %). Pulsa un criterio con actividades: las resalta en el diagrama. Las filas señaladas llevan ⚠ o ! en la tabla (con el tooltip del criterio).</t>
        </is>
      </c>
      <c r="G164" s="5" t="inlineStr">
        <is>
          <t>(Lo esperado está en los pasos.)</t>
        </is>
      </c>
      <c r="H164" s="5" t="inlineStr">
        <is>
          <t>Pendiente</t>
        </is>
      </c>
      <c r="I164" s="5" t="n"/>
      <c r="J164" s="5" t="n"/>
      <c r="K164" s="7" t="n"/>
    </row>
    <row r="165">
      <c r="A165" s="5" t="n">
        <v>164</v>
      </c>
      <c r="B165" s="5" t="inlineStr">
        <is>
          <t>14. GT1–GT18 · Gantt</t>
        </is>
      </c>
      <c r="C165" s="6" t="inlineStr">
        <is>
          <t>GT15</t>
        </is>
      </c>
      <c r="D165" s="5" t="inlineStr">
        <is>
          <t>Deshacer protegido</t>
        </is>
      </c>
      <c r="E165" s="5" t="inlineStr">
        <is>
          <t>cronograma-GT1.xlsx (copia de cronograma-base.xlsx)</t>
        </is>
      </c>
      <c r="F165" s="5" t="inlineStr">
        <is>
          <t>Cambia una duración desde el Gantt. Luego, en Excel, inserta a mano una fila en Relaciones (o cambia una celda de Actividades) y pulsa Ctrl+Z en el Gantt.</t>
        </is>
      </c>
      <c r="G165" s="5" t="inlineStr">
        <is>
          <t>Esperado: «Las hojas … cambiaron fuera del Gantt después de esa edición: no se puede deshacer con seguridad», sin tocar nada. Releer hojas trae lo que cambiaste a mano.</t>
        </is>
      </c>
      <c r="H165" s="5" t="inlineStr">
        <is>
          <t>Pendiente</t>
        </is>
      </c>
      <c r="I165" s="5" t="n"/>
      <c r="J165" s="5" t="n"/>
      <c r="K165" s="7" t="n"/>
    </row>
    <row r="166">
      <c r="A166" s="5" t="n">
        <v>165</v>
      </c>
      <c r="B166" s="5" t="inlineStr">
        <is>
          <t>14. GT1–GT18 · Gantt</t>
        </is>
      </c>
      <c r="C166" s="6" t="inlineStr">
        <is>
          <t>GT16</t>
        </is>
      </c>
      <c r="D166" s="5" t="inlineStr">
        <is>
          <t>Cálculo manual</t>
        </is>
      </c>
      <c r="E166" s="5" t="inlineStr">
        <is>
          <t>cronograma-GT1.xlsx (copia de cronograma-base.xlsx)</t>
        </is>
      </c>
      <c r="F166" s="5" t="inlineStr">
        <is>
          <t>Pulsa Cálculo automático (pasa a manual) y cambia una duración: se escribe en la hoja, pero el diagrama sigue igual y dice «Hay cambios sin recalcular (F9)». F9 o Recalcular lo actualiza. Vuelve a automático.</t>
        </is>
      </c>
      <c r="G166" s="5" t="inlineStr">
        <is>
          <t>(Lo esperado está en los pasos.)</t>
        </is>
      </c>
      <c r="H166" s="5" t="inlineStr">
        <is>
          <t>Pendiente</t>
        </is>
      </c>
      <c r="I166" s="5" t="n"/>
      <c r="J166" s="5" t="n"/>
      <c r="K166" s="7" t="n"/>
    </row>
    <row r="167">
      <c r="A167" s="5" t="n">
        <v>166</v>
      </c>
      <c r="B167" s="5" t="inlineStr">
        <is>
          <t>14. GT1–GT18 · Gantt</t>
        </is>
      </c>
      <c r="C167" s="6" t="inlineStr">
        <is>
          <t>GT17</t>
        </is>
      </c>
      <c r="D167" s="5" t="inlineStr">
        <is>
          <t>Con la simulación</t>
        </is>
      </c>
      <c r="E167" s="5" t="inlineStr">
        <is>
          <t>cronograma-GT1.xlsx (copia de cronograma-base.xlsx)</t>
        </is>
      </c>
      <c r="F167" s="5" t="inlineStr">
        <is>
          <t>Simula el cronograma (panel o cinta) con el Gantt abierto: se refresca solo y aparecen las columnas «P80 fin (QRSA)» y «Criticidad (QRSA)» y, sobre cada barra, el rango P10–P90 del fin con una marca en el P80. «Columnas y capas» deja quitar o poner columnas y capas; el ancho de las columnas y de la tabla (el divisor) se ajusta arrastrando y se recuerda.</t>
        </is>
      </c>
      <c r="G167" s="5" t="inlineStr">
        <is>
          <t>(Lo esperado está en los pasos.)</t>
        </is>
      </c>
      <c r="H167" s="5" t="inlineStr">
        <is>
          <t>Pendiente</t>
        </is>
      </c>
      <c r="I167" s="5" t="n"/>
      <c r="J167" s="5" t="n"/>
      <c r="K167" s="7" t="n"/>
    </row>
    <row r="168">
      <c r="A168" s="5" t="n">
        <v>167</v>
      </c>
      <c r="B168" s="5" t="inlineStr">
        <is>
          <t>14. GT1–GT18 · Gantt</t>
        </is>
      </c>
      <c r="C168" s="6" t="inlineStr">
        <is>
          <t>GT18</t>
        </is>
      </c>
      <c r="D168" s="5" t="inlineStr">
        <is>
          <t>Excel para la Web y Mac</t>
        </is>
      </c>
      <c r="E168" s="5" t="inlineStr">
        <is>
          <t>cronograma-GT1.xlsx (copia de cronograma-base.xlsx)</t>
        </is>
      </c>
      <c r="F168" s="5" t="inlineStr">
        <is>
          <t>Si puedes, repite GT2, GT8 y GT11 en Excel para la Web: la ventana va dentro de la página. Anota si se ve entera y si los arrastres responden.</t>
        </is>
      </c>
      <c r="G168" s="5" t="inlineStr">
        <is>
          <t>(Lo esperado está en los pasos.)</t>
        </is>
      </c>
      <c r="H168" s="5" t="inlineStr">
        <is>
          <t>Pendiente</t>
        </is>
      </c>
      <c r="I168" s="5" t="n"/>
      <c r="J168" s="5" t="n"/>
      <c r="K168" s="7" t="n"/>
    </row>
    <row r="169">
      <c r="A169" s="5" t="n">
        <v>168</v>
      </c>
      <c r="B169" s="5" t="inlineStr">
        <is>
          <t>15. GT19–GT30 · Gantt: avance, líneas base, exportar</t>
        </is>
      </c>
      <c r="C169" s="6" t="inlineStr">
        <is>
          <t>GT19</t>
        </is>
      </c>
      <c r="D169" s="5" t="inlineStr">
        <is>
          <t>Rutas de holgura</t>
        </is>
      </c>
      <c r="E169" s="5" t="inlineStr">
        <is>
          <t>cronograma-GT19.xlsx (copia de cronograma-base.xlsx)</t>
        </is>
      </c>
      <c r="F169" s="5" t="inlineStr">
        <is>
          <t>En el Gantt, abre Columnas y capas y marca Colorear por ruta de holgura; añade la columna Ruta n.º.</t>
        </is>
      </c>
      <c r="G169" s="5" t="inlineStr">
        <is>
          <t>Esperado: ruta 1 (roja) INI, A, B, D, E, F, H, M, J, K y L; ruta 2 G; ruta 3 I; ruta 4 C.</t>
        </is>
      </c>
      <c r="H169" s="5" t="inlineStr">
        <is>
          <t>Pendiente</t>
        </is>
      </c>
      <c r="I169" s="5" t="n"/>
      <c r="J169" s="5" t="n"/>
      <c r="K169" s="7" t="n"/>
    </row>
    <row r="170">
      <c r="A170" s="5" t="n">
        <v>169</v>
      </c>
      <c r="B170" s="5" t="inlineStr">
        <is>
          <t>15. GT19–GT30 · Gantt: avance, líneas base, exportar</t>
        </is>
      </c>
      <c r="C170" s="6" t="inlineStr">
        <is>
          <t>GT20</t>
        </is>
      </c>
      <c r="D170" s="5" t="inlineStr">
        <is>
          <t>Riesgo en el Gantt</t>
        </is>
      </c>
      <c r="E170" s="5" t="inlineStr">
        <is>
          <t>cronograma-GT19.xlsx (copia de cronograma-base.xlsx)</t>
        </is>
      </c>
      <c r="F170" s="5" t="inlineStr">
        <is>
          <t>Pulsa Correr QRSA en la ventana: el panel simula el cronograma y el Gantt se actualiza solo.</t>
        </is>
      </c>
      <c r="G170" s="5" t="inlineStr">
        <is>
          <t>Esperado: columnas Criticidad, P80 fin y P(cumplir el hito); junto a los hitos, su probabilidad: M 8 % y L 5 % (la de cumplir su fecha del cronograma). En Columnas y capas, Mapa de calor de criticidad colorea de azul (nunca crítica) a rojo (siempre): E 80 %, G 22 %, C 0 %. Pon en L una fecha límite 31/03/2028: su probabilidad pasa a ser la de cumplir esa fecha (más del 90 %) y el tooltip dice «(fecha límite)». Quítala.</t>
        </is>
      </c>
      <c r="H170" s="5" t="inlineStr">
        <is>
          <t>Pendiente</t>
        </is>
      </c>
      <c r="I170" s="5" t="n"/>
      <c r="J170" s="5" t="n"/>
      <c r="K170" s="7" t="n"/>
    </row>
    <row r="171">
      <c r="A171" s="5" t="n">
        <v>170</v>
      </c>
      <c r="B171" s="5" t="inlineStr">
        <is>
          <t>15. GT19–GT30 · Gantt: avance, líneas base, exportar</t>
        </is>
      </c>
      <c r="C171" s="6" t="inlineStr">
        <is>
          <t>GT21</t>
        </is>
      </c>
      <c r="D171" s="5" t="inlineStr">
        <is>
          <t>Fecha de corte y avance</t>
        </is>
      </c>
      <c r="E171" s="5" t="inlineStr">
        <is>
          <t>cronograma-GT19.xlsx (copia de cronograma-base.xlsx)</t>
        </is>
      </c>
      <c r="F171" s="5" t="inlineStr">
        <is>
          <t>En la hoja Config escribe Fecha de corte 01/03/2027. En el Gantt (columnas «Comienzo real», «Fin real» y «% completado», que aparecen al haber fecha de corte), registra: INI comienzo y fin real 04/01/2027; A comienzo 04/01/2027 y fin real 12/02/2027; B comienzo real 15/02/2027 y 40 %.</t>
        </is>
      </c>
      <c r="G171" s="5" t="inlineStr">
        <is>
          <t>Esperado: fin 12/11/2027, 9 críticas, una línea naranja punteada en el 01/03/2027 (la fecha de corte, distinta de la verde de hoy). A queda «terminada» (barra azul clara, sin holgura ni crítica); B «en curso», del 15/02 al 09/04/2027 (37 días: lleva 10 y le faltan 27 desde el corte) con una franja oscura del 40 %; C, que no ha empezado, empieza el 01/03/2027 (nada pendiente antes de la fecha de corte). El resumen S1 sale en curso con un 66 %.</t>
        </is>
      </c>
      <c r="H171" s="5" t="inlineStr">
        <is>
          <t>Pendiente</t>
        </is>
      </c>
      <c r="I171" s="5" t="n"/>
      <c r="J171" s="5" t="n"/>
      <c r="K171" s="7" t="n"/>
    </row>
    <row r="172">
      <c r="A172" s="5" t="n">
        <v>171</v>
      </c>
      <c r="B172" s="5" t="inlineStr">
        <is>
          <t>15. GT19–GT30 · Gantt: avance, líneas base, exportar</t>
        </is>
      </c>
      <c r="C172" s="6" t="inlineStr">
        <is>
          <t>GT22</t>
        </is>
      </c>
      <c r="D172" s="5" t="inlineStr">
        <is>
          <t>Lógica retenida o anulación por progreso</t>
        </is>
      </c>
      <c r="E172" s="5" t="inlineStr">
        <is>
          <t>cronograma-GT19.xlsx (copia de cronograma-base.xlsx)</t>
        </is>
      </c>
      <c r="F172" s="5" t="inlineStr">
        <is>
          <t>Registra en D (que depende de B) comienzo real 22/02/2027 y Duración restante 10.</t>
        </is>
      </c>
      <c r="G172" s="5" t="inlineStr">
        <is>
          <t>Esperado: en Calidad, «Avance fuera de secuencia: D empezó antes de que terminara una predecesora fin–comienzo…»; con lógica Retenida (la de por defecto en Config) lo que le falta a D espera a B: D termina el 23/04/2027 y el proyecto el 25/10/2027. Cambia en Config Lógica del avance a «Anulación por progreso» y pulsa Releer hojas: D termina el 12/03/2027 y el proyecto el 14/09/2027. Vuelve a «Retenida» y borra el avance de D.</t>
        </is>
      </c>
      <c r="H172" s="5" t="inlineStr">
        <is>
          <t>Pendiente</t>
        </is>
      </c>
      <c r="I172" s="5" t="n"/>
      <c r="J172" s="5" t="n"/>
      <c r="K172" s="7" t="n"/>
    </row>
    <row r="173">
      <c r="A173" s="5" t="n">
        <v>172</v>
      </c>
      <c r="B173" s="5" t="inlineStr">
        <is>
          <t>15. GT19–GT30 · Gantt: avance, líneas base, exportar</t>
        </is>
      </c>
      <c r="C173" s="6" t="inlineStr">
        <is>
          <t>GT23</t>
        </is>
      </c>
      <c r="D173" s="5" t="inlineStr">
        <is>
          <t>Fechas inválidas</t>
        </is>
      </c>
      <c r="E173" s="5" t="inlineStr">
        <is>
          <t>cronograma-GT19.xlsx (copia de cronograma-base.xlsx)</t>
        </is>
      </c>
      <c r="F173" s="5" t="inlineStr">
        <is>
          <t>Escribe en C un fin real 10/03/2027 (posterior al corte): Calidad dice en rojo «Fechas reales después de la fecha de corte: C…». Bórralo.</t>
        </is>
      </c>
      <c r="G173" s="5" t="inlineStr">
        <is>
          <t>(Lo esperado está en los pasos.)</t>
        </is>
      </c>
      <c r="H173" s="5" t="inlineStr">
        <is>
          <t>Pendiente</t>
        </is>
      </c>
      <c r="I173" s="5" t="n"/>
      <c r="J173" s="5" t="n"/>
      <c r="K173" s="7" t="n"/>
    </row>
    <row r="174">
      <c r="A174" s="5" t="n">
        <v>173</v>
      </c>
      <c r="B174" s="5" t="inlineStr">
        <is>
          <t>15. GT19–GT30 · Gantt: avance, líneas base, exportar</t>
        </is>
      </c>
      <c r="C174" s="6" t="inlineStr">
        <is>
          <t>GT24</t>
        </is>
      </c>
      <c r="D174" s="5" t="inlineStr">
        <is>
          <t>Línea base</t>
        </is>
      </c>
      <c r="E174" s="5" t="inlineStr">
        <is>
          <t>cronograma-GT19.xlsx (copia de cronograma-base.xlsx)</t>
        </is>
      </c>
      <c r="F174" s="5" t="inlineStr">
        <is>
          <t>Con el avance de GT21, pulsa Guardar línea base (LB1). En la hoja Lineas_Base aparecen el comienzo y el fin de cada actividad. Cambia la duración de E a 60.</t>
        </is>
      </c>
      <c r="G174" s="5" t="inlineStr">
        <is>
          <t>Esperado: fin 29/11/2027, una barra gris delgada bajo cada barra (la línea base), la columna «Variación (d)» con E +10 (en rojo) y L +10, y en Calidad: «BEI … 2 de 2 … BEI 1,00» y «CPLI … Faltan 184 días laborables por la ruta crítica y el fin va 9 días después del de la línea base: CPLI 0,95». Elige Línea base: Ninguna: desaparecen la barra gris y esas columnas. Deshaz el cambio de E.</t>
        </is>
      </c>
      <c r="H174" s="5" t="inlineStr">
        <is>
          <t>Pendiente</t>
        </is>
      </c>
      <c r="I174" s="5" t="n"/>
      <c r="J174" s="5" t="n"/>
      <c r="K174" s="7" t="n"/>
    </row>
    <row r="175">
      <c r="A175" s="5" t="n">
        <v>174</v>
      </c>
      <c r="B175" s="5" t="inlineStr">
        <is>
          <t>15. GT19–GT30 · Gantt: avance, líneas base, exportar</t>
        </is>
      </c>
      <c r="C175" s="6" t="inlineStr">
        <is>
          <t>GT25</t>
        </is>
      </c>
      <c r="D175" s="5" t="inlineStr">
        <is>
          <t>Hasta tres líneas base</t>
        </is>
      </c>
      <c r="E175" s="5" t="inlineStr">
        <is>
          <t>cronograma-GT19.xlsx (copia de cronograma-base.xlsx)</t>
        </is>
      </c>
      <c r="F175" s="5" t="inlineStr">
        <is>
          <t>Elige Línea base: LB2, pulsa Guardar línea base y luego otra vez: la segunda pregunta si reemplazarla. Cambia entre LB1 y LB2 en el desplegable.</t>
        </is>
      </c>
      <c r="G175" s="5" t="inlineStr">
        <is>
          <t>(Lo esperado está en los pasos.)</t>
        </is>
      </c>
      <c r="H175" s="5" t="inlineStr">
        <is>
          <t>Pendiente</t>
        </is>
      </c>
      <c r="I175" s="5" t="n"/>
      <c r="J175" s="5" t="n"/>
      <c r="K175" s="7" t="n"/>
    </row>
    <row r="176">
      <c r="A176" s="5" t="n">
        <v>175</v>
      </c>
      <c r="B176" s="5" t="inlineStr">
        <is>
          <t>15. GT19–GT30 · Gantt: avance, líneas base, exportar</t>
        </is>
      </c>
      <c r="C176" s="6" t="inlineStr">
        <is>
          <t>GT26</t>
        </is>
      </c>
      <c r="D176" s="5" t="inlineStr">
        <is>
          <t>Filtros, orden y vistas</t>
        </is>
      </c>
      <c r="E176" s="5" t="inlineStr">
        <is>
          <t>cronograma-GT19.xlsx (copia de cronograma-base.xlsx)</t>
        </is>
      </c>
      <c r="F176" s="5" t="inlineStr">
        <is>
          <t>Prueba los filtros nuevos («Solo hitos», «Con alertas de calidad», «En curso», «Sin terminar»), Hasta el nivel 1 (solo los resúmenes y el hito INI) y Por holgura total (orden temporal: la hoja no cambia). En Vistas, escribe un nombre y Guardar la vista actual; cambia filtros y columnas y vuelve a ella con un clic. Cierra la ventana y ábrela otra vez: la vista sigue ahí.</t>
        </is>
      </c>
      <c r="G176" s="5" t="inlineStr">
        <is>
          <t>(Lo esperado está en los pasos.)</t>
        </is>
      </c>
      <c r="H176" s="5" t="inlineStr">
        <is>
          <t>Pendiente</t>
        </is>
      </c>
      <c r="I176" s="5" t="n"/>
      <c r="J176" s="5" t="n"/>
      <c r="K176" s="7" t="n"/>
    </row>
    <row r="177">
      <c r="A177" s="5" t="n">
        <v>176</v>
      </c>
      <c r="B177" s="5" t="inlineStr">
        <is>
          <t>15. GT19–GT30 · Gantt: avance, líneas base, exportar</t>
        </is>
      </c>
      <c r="C177" s="6" t="inlineStr">
        <is>
          <t>GT27</t>
        </is>
      </c>
      <c r="D177" s="5" t="inlineStr">
        <is>
          <t>Imprimir y PDF</t>
        </is>
      </c>
      <c r="E177" s="5" t="inlineStr">
        <is>
          <t>cronograma-GT19.xlsx (copia de cronograma-base.xlsx)</t>
        </is>
      </c>
      <c r="F177" s="5" t="inlineStr">
        <is>
          <t>Pulsa Imprimir y exportar…: se abre en el navegador el Gantt paginado. Elige A3 horizontal o A4 vertical: cambia el número de páginas. Cada página lleva título, fechas, la escala de tiempo repetida y «Página n de N»; la leyenda va en la última. Imprimir o guardar como PDF → «Guardar como PDF».</t>
        </is>
      </c>
      <c r="G177" s="5" t="inlineStr">
        <is>
          <t>(Lo esperado está en los pasos.)</t>
        </is>
      </c>
      <c r="H177" s="5" t="inlineStr">
        <is>
          <t>Pendiente</t>
        </is>
      </c>
      <c r="I177" s="5" t="n"/>
      <c r="J177" s="5" t="n"/>
      <c r="K177" s="7" t="n"/>
    </row>
    <row r="178">
      <c r="A178" s="5" t="n">
        <v>177</v>
      </c>
      <c r="B178" s="5" t="inlineStr">
        <is>
          <t>15. GT19–GT30 · Gantt: avance, líneas base, exportar</t>
        </is>
      </c>
      <c r="C178" s="6" t="inlineStr">
        <is>
          <t>GT28</t>
        </is>
      </c>
      <c r="D178" s="5" t="inlineStr">
        <is>
          <t>PNG, MS Project y CSV</t>
        </is>
      </c>
      <c r="E178" s="5" t="inlineStr">
        <is>
          <t>cronograma-GT19.xlsx (copia de cronograma-base.xlsx)</t>
        </is>
      </c>
      <c r="F178" s="5" t="inlineStr">
        <is>
          <t>En la misma página: Imagen (PNG) descarga todo el Gantt en una imagen; MS Project (XML) un archivo que abre ProjectLibre (o MS Project) con las mismas actividades, vínculos, calendarios, fechas límite y avance; Tabla (CSV) la tabla, que Excel abre con acentos y fechas bien.</t>
        </is>
      </c>
      <c r="G178" s="5" t="inlineStr">
        <is>
          <t>(Lo esperado está en los pasos.)</t>
        </is>
      </c>
      <c r="H178" s="5" t="inlineStr">
        <is>
          <t>Pendiente</t>
        </is>
      </c>
      <c r="I178" s="5" t="n"/>
      <c r="J178" s="5" t="n"/>
      <c r="K178" s="7" t="n"/>
    </row>
    <row r="179">
      <c r="A179" s="5" t="n">
        <v>178</v>
      </c>
      <c r="B179" s="5" t="inlineStr">
        <is>
          <t>15. GT19–GT30 · Gantt: avance, líneas base, exportar</t>
        </is>
      </c>
      <c r="C179" s="6" t="inlineStr">
        <is>
          <t>GT29</t>
        </is>
      </c>
      <c r="D179" s="5" t="inlineStr">
        <is>
          <t>Importar avance</t>
        </is>
      </c>
      <c r="E179" s="5" t="inlineStr">
        <is>
          <t>Libro nuevo en blanco + el XML exportado en GT28</t>
        </is>
      </c>
      <c r="F179" s="5" t="inlineStr">
        <is>
          <t>Importa en un libro nuevo el XML de GT28: el avance (comienzo y fin reales, %), las fechas límite y la fecha de corte (la de estado del archivo) llegan a las hojas.</t>
        </is>
      </c>
      <c r="G179" s="5" t="inlineStr">
        <is>
          <t>(Lo esperado está en los pasos.)</t>
        </is>
      </c>
      <c r="H179" s="5" t="inlineStr">
        <is>
          <t>Pendiente</t>
        </is>
      </c>
      <c r="I179" s="5" t="n"/>
      <c r="J179" s="5" t="n"/>
      <c r="K179" s="7" t="n"/>
    </row>
    <row r="180">
      <c r="A180" s="5" t="n">
        <v>179</v>
      </c>
      <c r="B180" s="5" t="inlineStr">
        <is>
          <t>15. GT19–GT30 · Gantt: avance, líneas base, exportar</t>
        </is>
      </c>
      <c r="C180" s="6" t="inlineStr">
        <is>
          <t>GT30</t>
        </is>
      </c>
      <c r="D180" s="5" t="inlineStr">
        <is>
          <t>Muchas actividades</t>
        </is>
      </c>
      <c r="E180" s="5" t="inlineStr">
        <is>
          <t>Un cronograma grande tuyo (si tienes)</t>
        </is>
      </c>
      <c r="F180" s="5" t="inlineStr">
        <is>
          <t>Si tienes un cronograma grande (cientos de actividades), impórtalo y abre el Gantt: anota cuánto dice «calculado en … ms» y si el desplazamiento va fluido.</t>
        </is>
      </c>
      <c r="G180" s="5" t="inlineStr">
        <is>
          <t>(Lo esperado está en los pasos.)</t>
        </is>
      </c>
      <c r="H180" s="5" t="inlineStr">
        <is>
          <t>Pendiente</t>
        </is>
      </c>
      <c r="I180" s="5" t="n"/>
      <c r="J180" s="5" t="n"/>
      <c r="K180" s="7" t="n"/>
    </row>
    <row r="181">
      <c r="A181" s="5" t="n">
        <v>180</v>
      </c>
      <c r="B181" s="5" t="inlineStr">
        <is>
          <t>16. GT31–GT40 · Arreglos, editores, resultados</t>
        </is>
      </c>
      <c r="C181" s="6" t="inlineStr">
        <is>
          <t>GT31</t>
        </is>
      </c>
      <c r="D181" s="5" t="inlineStr">
        <is>
          <t>La ventana carga a la primera</t>
        </is>
      </c>
      <c r="E181" s="5" t="inlineStr">
        <is>
          <t>cronograma-GT31.xlsx (copia de cronograma-base.xlsx)</t>
        </is>
      </c>
      <c r="F181" s="5" t="inlineStr">
        <is>
          <t>Con Excel recién abierto, pestaña Cronograma del panel → Ver Gantt.</t>
        </is>
      </c>
      <c r="G181" s="5" t="inlineStr">
        <is>
          <t>Esperado: en uno o dos segundos se ve el Gantt; ya no se queda en «Leyendo el cronograma…» hasta cambiar de pestaña.</t>
        </is>
      </c>
      <c r="H181" s="5" t="inlineStr">
        <is>
          <t>Pendiente</t>
        </is>
      </c>
      <c r="I181" s="5" t="n"/>
      <c r="J181" s="5" t="n"/>
      <c r="K181" s="7" t="n"/>
    </row>
    <row r="182">
      <c r="A182" s="5" t="n">
        <v>181</v>
      </c>
      <c r="B182" s="5" t="inlineStr">
        <is>
          <t>16. GT31–GT40 · Arreglos, editores, resultados</t>
        </is>
      </c>
      <c r="C182" s="6" t="inlineStr">
        <is>
          <t>GT32</t>
        </is>
      </c>
      <c r="D182" s="5" t="inlineStr">
        <is>
          <t>Fechas de fin posibles bajo el Gantt</t>
        </is>
      </c>
      <c r="E182" s="5" t="inlineStr">
        <is>
          <t>cronograma-GT31.xlsx (copia de cronograma-base.xlsx)</t>
        </is>
      </c>
      <c r="F182" s="5" t="inlineStr">
        <is>
          <t>Simula el cronograma (pestaña Cronograma → Simular cronograma); el panel pasa a Resultados: al final, junto a «Iteraciones en CSV», pulsa Ver Gantt. Pulsa Ajustar todo.</t>
        </is>
      </c>
      <c r="G182" s="5" t="inlineStr">
        <is>
          <t>Esperado: debajo de las barras, una franja «Fechas de fin posibles» con una barra por semana, en el mismo eje de fechas que el Gantt (al desplazar a izquierda o derecha se mueve con él). Azules las semanas hasta la meta, naranjas las de después; líneas punteadas P50 y P80 y una morada «Meta». El texto de la izquierda dice «5.000 iteraciones · cada barra, una semana · P50 18/01/2028 · P80 16/02/2028 · Meta 31/01/2028: probabilidad de cumplirla 65,3 %», la misma de Resultados. La casilla «Fechas de fin posibles» la oculta y la vuelve a mostrar.</t>
        </is>
      </c>
      <c r="H182" s="5" t="inlineStr">
        <is>
          <t>Pendiente</t>
        </is>
      </c>
      <c r="I182" s="5" t="n"/>
      <c r="J182" s="5" t="n"/>
      <c r="K182" s="7" t="n"/>
    </row>
    <row r="183">
      <c r="A183" s="5" t="n">
        <v>182</v>
      </c>
      <c r="B183" s="5" t="inlineStr">
        <is>
          <t>16. GT31–GT40 · Arreglos, editores, resultados</t>
        </is>
      </c>
      <c r="C183" s="6" t="inlineStr">
        <is>
          <t>GT33</t>
        </is>
      </c>
      <c r="D183" s="5" t="inlineStr">
        <is>
          <t>Configuración y Resultados unificados</t>
        </is>
      </c>
      <c r="E183" s="5" t="inlineStr">
        <is>
          <t>cronograma-GT31.xlsx (copia de cronograma-base.xlsx)</t>
        </is>
      </c>
      <c r="F183" s="5" t="inlineStr">
        <is>
          <t>Con el libro de cronograma abierto, ⚙ muestra arriba «Simulación del cronograma» con 5 mil, semilla 12.345 e Hipercubo latino. Pulsa 1 mil: en Excel, Config!B4 pasa a 1000. Simula: el panel salta a Resultados, que empieza con «Resultados del cronograma» y «1.000 iteraciones · semilla 12345 · hipercubo latino». Si en el mismo libro simulas también el modelo (pestaña Modelo → Simular), arriba de Resultados aparece «Ver los resultados de: Modelo · Cronograma» para pasar de uno a otro. Vuelve a 5 mil.</t>
        </is>
      </c>
      <c r="G183" s="5" t="inlineStr">
        <is>
          <t>(Lo esperado está en los pasos.)</t>
        </is>
      </c>
      <c r="H183" s="5" t="inlineStr">
        <is>
          <t>Pendiente</t>
        </is>
      </c>
      <c r="I183" s="5" t="n"/>
      <c r="J183" s="5" t="n"/>
      <c r="K183" s="7" t="n"/>
    </row>
    <row r="184">
      <c r="A184" s="5" t="n">
        <v>183</v>
      </c>
      <c r="B184" s="5" t="inlineStr">
        <is>
          <t>16. GT31–GT40 · Arreglos, editores, resultados</t>
        </is>
      </c>
      <c r="C184" s="6" t="inlineStr">
        <is>
          <t>GT34</t>
        </is>
      </c>
      <c r="D184" s="5" t="inlineStr">
        <is>
          <t>Calendarios: la vista del año</t>
        </is>
      </c>
      <c r="E184" s="5" t="inlineStr">
        <is>
          <t>cronograma-GT31.xlsx (copia de cronograma-base.xlsx)</t>
        </is>
      </c>
      <c r="F184" s="5" t="inlineStr">
        <is>
          <t>Pulsa Calendarios….</t>
        </is>
      </c>
      <c r="G184" s="5" t="inlineStr">
        <is>
          <t>Esperado: arriba, la tabla con «Lunes a viernes» (L a V marcados; «Lo usan: Config (calendario del proyecto)», botón Quitar desactivado) y «Lunes a sábado» (L a S; «Lo usan: E»). Debajo, el año con los 12 meses: los sábados y domingos en gris, los festivos en rojo. Con los botones ‹ › ve al año 2027: Marzo tiene en rojo el 22 (San José), el 25 y el 26 (Semana Santa).</t>
        </is>
      </c>
      <c r="H184" s="5" t="inlineStr">
        <is>
          <t>Pendiente</t>
        </is>
      </c>
      <c r="I184" s="5" t="n"/>
      <c r="J184" s="5" t="n"/>
      <c r="K184" s="7" t="n"/>
    </row>
    <row r="185">
      <c r="A185" s="5" t="n">
        <v>184</v>
      </c>
      <c r="B185" s="5" t="inlineStr">
        <is>
          <t>16. GT31–GT40 · Arreglos, editores, resultados</t>
        </is>
      </c>
      <c r="C185" s="6" t="inlineStr">
        <is>
          <t>GT35</t>
        </is>
      </c>
      <c r="D185" s="5" t="inlineStr">
        <is>
          <t>Calendarios: marcar un festivo y renombrar</t>
        </is>
      </c>
      <c r="E185" s="5" t="inlineStr">
        <is>
          <t>cronograma-GT31.xlsx (copia de cronograma-base.xlsx)</t>
        </is>
      </c>
      <c r="F185" s="5" t="inlineStr">
        <is>
          <t>1. En el año 2027, Marzo, pulsa el 1 (lunes): se pone rojo y abajo, en «Festivos y excepciones de 2027», aparece una fila nueva «Festivo». Pulsa el 1 otra vez: se quita. Vuelve a pulsarlo para dejarlo.
2. En la tabla de arriba cambia el nombre «Lunes a sábado» por Seis días.
3. Pulsa Guardar en las hojas. Esperado: «Editar los calendarios: escrito en las hojas Calendario, Actividades.»
4. En Excel: la hoja Calendario tiene en A3 «Seis días» y una fila con la fecha 01/03/2027 «Festivo»; en Actividades!F9 (calendario de E) dice «Seis días».
5. Pestaña Gantt de la misma ventana: la línea de estado dice fin 23/11/2027 (un día más que el 22/11/2027: el 1 de marzo cae en la licencia, que es crítica).
6. Vuelve a Calendarios y pulsa Deshacer: Editar los calendarios: vuelven «Lunes a sábado» y el fin 22/11/2027.
7. Prueba a quitar «Lunes a sábado» (botón Quitar de su fila): está desactivado porque lo usa E.</t>
        </is>
      </c>
      <c r="G185" s="5" t="inlineStr">
        <is>
          <t>(Lo esperado va en cada paso numerado.)</t>
        </is>
      </c>
      <c r="H185" s="5" t="inlineStr">
        <is>
          <t>Pendiente</t>
        </is>
      </c>
      <c r="I185" s="5" t="n"/>
      <c r="J185" s="5" t="n"/>
      <c r="K185" s="7" t="n"/>
    </row>
    <row r="186">
      <c r="A186" s="5" t="n">
        <v>185</v>
      </c>
      <c r="B186" s="5" t="inlineStr">
        <is>
          <t>16. GT31–GT40 · Arreglos, editores, resultados</t>
        </is>
      </c>
      <c r="C186" s="6" t="inlineStr">
        <is>
          <t>GT36</t>
        </is>
      </c>
      <c r="D186" s="5" t="inlineStr">
        <is>
          <t>Riesgos</t>
        </is>
      </c>
      <c r="E186" s="5" t="inlineStr">
        <is>
          <t>cronograma-GT31.xlsx (copia de cronograma-base.xlsx)</t>
        </is>
      </c>
      <c r="F186" s="5" t="inlineStr">
        <is>
          <t>Pulsa la pestaña Riesgos de la ventana. A la izquierda, R1 a R4 con su probabilidad. Pulsa R3: a la derecha, su formulario (descripción, causa, consecuencia, dueño, categoría, probabilidad 10, estado, modo), la tabla de impactos (D · Cimentación, Triangular 10 · 20 · 40 días y su costo) y la mitigación.
1. Cambia Probabilidad (%) a 30 y pulsa Guardar en las hojas: «Editar los riesgos: escrito en las hojas Riesgos, Impactos». En Excel, Riesgos!G4 = 30 %.
2. Simula (panel → Cronograma → Simular cronograma). En Resultados → Fin del proyecto: P50 · P80 = 24/01/2028 · 23/02/2028 y probabilidad de la meta 58,4 % (antes 65,3 %).
3. Pulsa + Impacto en R3, elige «E · Estructura», Triangular 2 · 3 · 5: antes de guardar, pon el máximo en 1: abajo sale en rojo «R3 en E: mínimo ≤ más probable ≤ máximo» y Guardar se desactiva. Pulsa Descartar los cambios.
4. Deja R3 en 10 % (Deshacer o escribiendo 10 y guardando).</t>
        </is>
      </c>
      <c r="G186" s="5" t="inlineStr">
        <is>
          <t>(Lo esperado va en cada paso numerado.)</t>
        </is>
      </c>
      <c r="H186" s="5" t="inlineStr">
        <is>
          <t>Pendiente</t>
        </is>
      </c>
      <c r="I186" s="5" t="n"/>
      <c r="J186" s="5" t="n"/>
      <c r="K186" s="7" t="n"/>
    </row>
    <row r="187">
      <c r="A187" s="5" t="n">
        <v>186</v>
      </c>
      <c r="B187" s="5" t="inlineStr">
        <is>
          <t>16. GT31–GT40 · Arreglos, editores, resultados</t>
        </is>
      </c>
      <c r="C187" s="6" t="inlineStr">
        <is>
          <t>GT37</t>
        </is>
      </c>
      <c r="D187" s="5" t="inlineStr">
        <is>
          <t>Ramas</t>
        </is>
      </c>
      <c r="E187" s="5" t="inlineStr">
        <is>
          <t>cronograma-GT31.xlsx (copia de cronograma-base.xlsx)</t>
        </is>
      </c>
      <c r="F187" s="5" t="inlineStr">
        <is>
          <t>Pestaña Ramas → + Rama. Escribe Rama Licencia; opción 1 Trámite normal, 70, y en «+ actividad…» elige «B · Licencia de construcción»; opción 2 Ya aprobada, 40, actividad «C · Adecuación del terreno».</t>
        </is>
      </c>
      <c r="G187" s="5" t="inlineStr">
        <is>
          <t>Esperado: al lado del nombre, en rojo, «Suman 110 % (tienen que sumar 100 %)» y Guardar desactivado. Cambia 40 por 30: «Suman 100 % ✓». Guarda: en Excel la hoja Ramas tiene las dos filas (Licencia · Trámite normal · 70 % · B; Licencia · Ya aprobada · 30 % · C). Simula: P80 07/02/2028 y meta 75,2 % (como Q20). Deshaz con Deshacer: Editar las ramas (la hoja Ramas queda solo con el encabezado).</t>
        </is>
      </c>
      <c r="H187" s="5" t="inlineStr">
        <is>
          <t>Pendiente</t>
        </is>
      </c>
      <c r="I187" s="5" t="n"/>
      <c r="J187" s="5" t="n"/>
      <c r="K187" s="7" t="n"/>
    </row>
    <row r="188">
      <c r="A188" s="5" t="n">
        <v>187</v>
      </c>
      <c r="B188" s="5" t="inlineStr">
        <is>
          <t>16. GT31–GT40 · Arreglos, editores, resultados</t>
        </is>
      </c>
      <c r="C188" s="6" t="inlineStr">
        <is>
          <t>GT38</t>
        </is>
      </c>
      <c r="D188" s="5" t="inlineStr">
        <is>
          <t>Las cifras, las curvas y el tornado</t>
        </is>
      </c>
      <c r="E188" s="5" t="inlineStr">
        <is>
          <t>cronograma-GT31.xlsx (copia de cronograma-base.xlsx)</t>
        </is>
      </c>
      <c r="F188" s="5" t="inlineStr">
        <is>
          <t>Arriba, debajo de «5.000 iteraciones · semilla 12345 · hipercubo latino», tres recuadros: 16/02/2028 (P80 del fin), 65,3 % (de cumplir la meta 31/01/2028) y 622 M (contingencia de costo; desde la consolidación incluye las multas del contrato). En «Fin del proyecto»:
- la curva S tiene una línea morada «Meta 31/01/2028» y una punteada «P80», con sus nombres sin pisarse;
- el histograma de debajo va en fechas (de 04/10/2027 a 16/06/2028), con las mismas dos líneas y las barras de después de la meta en gris claro.
En «Riesgos: tornado por eliminación», R1 a R3 en rojo; R4 dice «oportunidad · R4 · Cubierta prefabricada…» con 0 d (debajo, la leyenda explica el 0); en el tornado de costo, R4 va en verde (−18,4 M).</t>
        </is>
      </c>
      <c r="G188" s="5" t="inlineStr">
        <is>
          <t>(Lo esperado está en los pasos.)</t>
        </is>
      </c>
      <c r="H188" s="5" t="inlineStr">
        <is>
          <t>Pendiente</t>
        </is>
      </c>
      <c r="I188" s="5" t="n"/>
      <c r="J188" s="5" t="n"/>
      <c r="K188" s="7" t="n"/>
    </row>
    <row r="189">
      <c r="A189" s="5" t="n">
        <v>188</v>
      </c>
      <c r="B189" s="5" t="inlineStr">
        <is>
          <t>16. GT31–GT40 · Arreglos, editores, resultados</t>
        </is>
      </c>
      <c r="C189" s="6" t="inlineStr">
        <is>
          <t>GT39</t>
        </is>
      </c>
      <c r="D189" s="5" t="inlineStr">
        <is>
          <t>Matriz de probabilidad e impacto</t>
        </is>
      </c>
      <c r="E189" s="5" t="inlineStr">
        <is>
          <t>cronograma-GT31.xlsx (copia de cronograma-base.xlsx)</t>
        </is>
      </c>
      <c r="F189" s="5" t="inlineStr">
        <is>
          <t>Debajo del tornado, «Riesgos: probabilidad e impacto»: la cuadrícula 5 × 5 con 2 y 3 en Baja · Muy alto, 1 en Media · Muy alto y 4 en Alta · Medio; debajo, la lista numerada con la severidad de cada uno.</t>
        </is>
      </c>
      <c r="G189" s="5" t="inlineStr">
        <is>
          <t>(Lo esperado está en los pasos.)</t>
        </is>
      </c>
      <c r="H189" s="5" t="inlineStr">
        <is>
          <t>Pendiente</t>
        </is>
      </c>
      <c r="I189" s="5" t="n"/>
      <c r="J189" s="5" t="n"/>
      <c r="K189" s="7" t="n"/>
    </row>
    <row r="190">
      <c r="A190" s="5" t="n">
        <v>189</v>
      </c>
      <c r="B190" s="5" t="inlineStr">
        <is>
          <t>16. GT31–GT40 · Arreglos, editores, resultados</t>
        </is>
      </c>
      <c r="C190" s="6" t="inlineStr">
        <is>
          <t>GT40</t>
        </is>
      </c>
      <c r="D190" s="5" t="inlineStr">
        <is>
          <t>El Gantt en el informe ejecutivo</t>
        </is>
      </c>
      <c r="E190" s="5" t="inlineStr">
        <is>
          <t>cronograma-GT31.xlsx (copia de cronograma-base.xlsx)</t>
        </is>
      </c>
      <c r="F190" s="5" t="inlineStr">
        <is>
          <t>Al final de Resultados, pulsa Informe ejecutivo (PDF). Después de «Fecha de fin» (con la meta y el P80 en su curva), en una página nueva, «Cronograma y fechas de fin posibles»: el Gantt de las 18 filas con la ruta crítica en rojo y el rango P10–P90 de cada actividad, y debajo, en el mismo eje, las barras semanales de las fechas de fin (azules hasta la meta, naranjas después). «Imprimir o guardar como PDF» lo deja en A4.</t>
        </is>
      </c>
      <c r="G190" s="5" t="inlineStr">
        <is>
          <t>(Lo esperado está en los pasos.)</t>
        </is>
      </c>
      <c r="H190" s="5" t="inlineStr">
        <is>
          <t>Pendiente</t>
        </is>
      </c>
      <c r="I190" s="5" t="n"/>
      <c r="J190" s="5" t="n"/>
      <c r="K190" s="7" t="n"/>
    </row>
    <row r="191">
      <c r="A191" s="5" t="n">
        <v>190</v>
      </c>
      <c r="B191" s="5" t="inlineStr">
        <is>
          <t>17. GT41–GT55 · Lo traído al unir las ramas</t>
        </is>
      </c>
      <c r="C191" s="6" t="inlineStr">
        <is>
          <t>GT41</t>
        </is>
      </c>
      <c r="D191" s="5" t="inlineStr">
        <is>
          <t>Primer uso y ejemplos por sector</t>
        </is>
      </c>
      <c r="E191" s="5" t="inlineStr">
        <is>
          <t>Libro nuevo en blanco → ejemplo «Vía»; guárdalo como cronograma-via.xlsx</t>
        </is>
      </c>
      <c r="F191" s="5" t="inlineStr">
        <is>
          <t>En un libro sin hojas de cronograma, la pestaña Cronograma muestra «Primeros pasos» (cinco pasos). Junto a «Crear libro de cronograma» hay un desplegable de ejemplos: Obra (edificio de 14 actividades) y los cuatro sectores (vivienda, vía, edificio y software). Crea uno de sector en un libro nuevo en blanco (Archivo → Nuevo → Libro en blanco): elige «Vía» en el desplegable y pulsa Crear libro de cronograma.</t>
        </is>
      </c>
      <c r="G191" s="5" t="inlineStr">
        <is>
          <t>Esperado: las mismas 16 hojas, con 14 actividades de una vía (desmonte, movimiento de tierras, obras de drenaje, subbase, carpeta asfáltica…). Revisar calidad: ningún criterio en rojo; dos en amarillo («Desfases positivos» y «Correlación entre duraciones o costos»). Simular cronograma termina sin errores; Resultados trae «Hitos contractuales» con el hito de entrega de la vía y la fecha meta ya puesta. Guarda este libro como cronograma-via.xlsx (lo usa GT45). Los otros ejemplos también se crean y simulan; «Edificio público» trae a propósito un rojo («Holgura total mayor de 44 días laborables»), para que veas cómo se ve un cronograma con un problema.</t>
        </is>
      </c>
      <c r="H191" s="5" t="inlineStr">
        <is>
          <t>Pendiente</t>
        </is>
      </c>
      <c r="I191" s="5" t="n"/>
      <c r="J191" s="5" t="n"/>
      <c r="K191" s="7" t="n"/>
    </row>
    <row r="192">
      <c r="A192" s="5" t="n">
        <v>191</v>
      </c>
      <c r="B192" s="5" t="inlineStr">
        <is>
          <t>17. GT41–GT55 · Lo traído al unir las ramas</t>
        </is>
      </c>
      <c r="C192" s="6" t="inlineStr">
        <is>
          <t>GT42</t>
        </is>
      </c>
      <c r="D192" s="5" t="inlineStr">
        <is>
          <t>Hitos contractuales y multas</t>
        </is>
      </c>
      <c r="E192" s="5" t="inlineStr">
        <is>
          <t>cronograma-GT41.xlsx (copia de cronograma-base.xlsx)</t>
        </is>
      </c>
      <c r="F192" s="5" t="inlineStr">
        <is>
          <t>En la hoja Hitos_Contrato del ejemplo de la obra, L (Entrega) tiene fecha 31/01/2028, multa de 4.000.000 por día y tope de 280.000.000. Simula. En Resultados, la sección «Hitos contractuales» muestra L · Entrega con 63,9 % de cumplir, P80 17/02/2028 (+17 d) y una multa esperada de unos 35,3 M COP. Debajo dice que la multa ya está dentro del costo. Borra la multa, vuelve a simular: la columna de la multa desaparece y el costo baja.</t>
        </is>
      </c>
      <c r="G192" s="5" t="inlineStr">
        <is>
          <t>(Lo esperado está en los pasos.)</t>
        </is>
      </c>
      <c r="H192" s="5" t="inlineStr">
        <is>
          <t>Pendiente</t>
        </is>
      </c>
      <c r="I192" s="5" t="n"/>
      <c r="J192" s="5" t="n"/>
      <c r="K192" s="7" t="n"/>
    </row>
    <row r="193">
      <c r="A193" s="5" t="n">
        <v>192</v>
      </c>
      <c r="B193" s="5" t="inlineStr">
        <is>
          <t>17. GT41–GT55 · Lo traído al unir las ramas</t>
        </is>
      </c>
      <c r="C193" s="6" t="inlineStr">
        <is>
          <t>GT43</t>
        </is>
      </c>
      <c r="D193" s="5" t="inlineStr">
        <is>
          <t>Reserva de contingencia</t>
        </is>
      </c>
      <c r="E193" s="5" t="inlineStr">
        <is>
          <t>cronograma-GT41.xlsx (copia de cronograma-base.xlsx)</t>
        </is>
      </c>
      <c r="F193" s="5" t="inlineStr">
        <is>
          <t>En «Reserva de contingencia», con P80 elegido, la reserva es de 60 días laborables. Se reparte así: incertidumbre de duraciones ≈ 42, R1 ≈ 8, R2 ≈ 6, R3 ≈ 3 y R4 (oportunidad) 0. Las partes suman exactamente 60. Cambia a P50 (≈ 39 días) y a P90 (≈ 72 días). La hoja de resultados y el informe ejecutivo traen la misma tabla.</t>
        </is>
      </c>
      <c r="G193" s="5" t="inlineStr">
        <is>
          <t>(Lo esperado está en los pasos.)</t>
        </is>
      </c>
      <c r="H193" s="5" t="inlineStr">
        <is>
          <t>Pendiente</t>
        </is>
      </c>
      <c r="I193" s="5" t="n"/>
      <c r="J193" s="5" t="n"/>
      <c r="K193" s="7" t="n"/>
    </row>
    <row r="194">
      <c r="A194" s="5" t="n">
        <v>193</v>
      </c>
      <c r="B194" s="5" t="inlineStr">
        <is>
          <t>17. GT41–GT55 · Lo traído al unir las ramas</t>
        </is>
      </c>
      <c r="C194" s="6" t="inlineStr">
        <is>
          <t>GT44</t>
        </is>
      </c>
      <c r="D194" s="5" t="inlineStr">
        <is>
          <t>En pocas palabras</t>
        </is>
      </c>
      <c r="E194" s="5" t="inlineStr">
        <is>
          <t>cronograma-GT41.xlsx (copia de cronograma-base.xlsx)</t>
        </is>
      </c>
      <c r="F194" s="5" t="inlineStr">
        <is>
          <t>Arriba de los resultados, el recuadro verde «En pocas palabras» trae frases como estas, con las fechas del libro:
- «Hay un 80 % de probabilidad de terminar el 16/02/2028 o antes».
- «La fecha meta (31/01/2028) se cumple en el 65 % de las iteraciones».
- «hace falta una reserva de 60 días laborables».
- «El riesgo que más pesa es «Lluvias fuertes durante la estructura»».</t>
        </is>
      </c>
      <c r="G194" s="5" t="inlineStr">
        <is>
          <t>(Lo esperado está en los pasos.)</t>
        </is>
      </c>
      <c r="H194" s="5" t="inlineStr">
        <is>
          <t>Pendiente</t>
        </is>
      </c>
      <c r="I194" s="5" t="n"/>
      <c r="J194" s="5" t="n"/>
      <c r="K194" s="7" t="n"/>
    </row>
    <row r="195">
      <c r="A195" s="5" t="n">
        <v>194</v>
      </c>
      <c r="B195" s="5" t="inlineStr">
        <is>
          <t>17. GT41–GT55 · Lo traído al unir las ramas</t>
        </is>
      </c>
      <c r="C195" s="6" t="inlineStr">
        <is>
          <t>GT45</t>
        </is>
      </c>
      <c r="D195" s="5" t="inlineStr">
        <is>
          <t>Sesgo de convergencia</t>
        </is>
      </c>
      <c r="E195" s="5" t="inlineStr">
        <is>
          <t>cronograma-GT41.xlsx y cronograma-via.xlsx (de GT41)</t>
        </is>
      </c>
      <c r="F195" s="5" t="inlineStr">
        <is>
          <t>Si en alguna actividad se juntan rutas que retrasan el fin, la sección «Sesgo de convergencia» la lista con la probabilidad de que cada ruta llegue a tiempo y la de que lleguen todas. En el ejemplo de la obra el sesgo es menor del 1 %: la sección no aparece (es lo correcto). Abre cronograma-via.xlsx (de GT41) y simula: aparece, y la primera fila es «Desmonte y limpieza». En «En pocas palabras» hay una frase «En «Desmonte y limpieza» se juntan 2 rutas…».</t>
        </is>
      </c>
      <c r="G195" s="5" t="inlineStr">
        <is>
          <t>(Lo esperado está en los pasos.)</t>
        </is>
      </c>
      <c r="H195" s="5" t="inlineStr">
        <is>
          <t>Pendiente</t>
        </is>
      </c>
      <c r="I195" s="5" t="n"/>
      <c r="J195" s="5" t="n"/>
      <c r="K195" s="7" t="n"/>
    </row>
    <row r="196">
      <c r="A196" s="5" t="n">
        <v>195</v>
      </c>
      <c r="B196" s="5" t="inlineStr">
        <is>
          <t>17. GT41–GT55 · Lo traído al unir las ramas</t>
        </is>
      </c>
      <c r="C196" s="6" t="inlineStr">
        <is>
          <t>GT46</t>
        </is>
      </c>
      <c r="D196" s="5" t="inlineStr">
        <is>
          <t>Registro de riesgos</t>
        </is>
      </c>
      <c r="E196" s="5" t="inlineStr">
        <is>
          <t>cronograma-GT41.xlsx (copia de cronograma-base.xlsx)</t>
        </is>
      </c>
      <c r="F196" s="5" t="inlineStr">
        <is>
          <t>La hoja Riesgos tiene dos columnas nuevas, «Próxima revisión» e «Impacto cualitativo», y el estado «En seguimiento» (R2 lo trae). En Resultados, «Registro de riesgos» muestra la matriz antes y después de mitigar y la tabla con dueño, estado, zona y próxima revisión. Cambia el estado de R3 a «Cerrado» y simula: R3 sale de la simulación.</t>
        </is>
      </c>
      <c r="G196" s="5" t="inlineStr">
        <is>
          <t>(Lo esperado está en los pasos.)</t>
        </is>
      </c>
      <c r="H196" s="5" t="inlineStr">
        <is>
          <t>Pendiente</t>
        </is>
      </c>
      <c r="I196" s="5" t="n"/>
      <c r="J196" s="5" t="n"/>
      <c r="K196" s="7" t="n"/>
    </row>
    <row r="197">
      <c r="A197" s="5" t="n">
        <v>196</v>
      </c>
      <c r="B197" s="5" t="inlineStr">
        <is>
          <t>17. GT41–GT55 · Lo traído al unir las ramas</t>
        </is>
      </c>
      <c r="C197" s="6" t="inlineStr">
        <is>
          <t>GT47</t>
        </is>
      </c>
      <c r="D197" s="5" t="inlineStr">
        <is>
          <t>Clima</t>
        </is>
      </c>
      <c r="E197" s="5" t="inlineStr">
        <is>
          <t>cronograma-GT41.xlsx (copia de cronograma-base.xlsx)</t>
        </is>
      </c>
      <c r="F197" s="5" t="inlineStr">
        <is>
          <t>En la hoja Clima, filas de Mayo, Junio y Julio (filas 6, 7 y 8), escribe 2, 4 y 8 en las columnas B, C y D (días perdidos mínimo, más probable y máximo). En Clima!F2 («Afecta a») escribe E (la estructura, que va del 22/05 al 23/07/2027). Simula.</t>
        </is>
      </c>
      <c r="G197" s="5" t="inlineStr">
        <is>
          <t>Esperado: una sección nueva «Clima» que dice «El clima suma 2 días al P80 (4,64 a la media): sin él, el P80 sería 278 días. Afecta a 1 actividades». Bajo el tornado, el texto termina en «…incertidumbre de las duraciones y el clima». Borra F2 y simula: la sección Clima desaparece. Vuelve a poner los meses en 0.</t>
        </is>
      </c>
      <c r="H197" s="5" t="inlineStr">
        <is>
          <t>Pendiente</t>
        </is>
      </c>
      <c r="I197" s="5" t="n"/>
      <c r="J197" s="5" t="n"/>
      <c r="K197" s="7" t="n"/>
    </row>
    <row r="198">
      <c r="A198" s="5" t="n">
        <v>197</v>
      </c>
      <c r="B198" s="5" t="inlineStr">
        <is>
          <t>17. GT41–GT55 · Lo traído al unir las ramas</t>
        </is>
      </c>
      <c r="C198" s="6" t="inlineStr">
        <is>
          <t>GT48</t>
        </is>
      </c>
      <c r="D198" s="5" t="inlineStr">
        <is>
          <t>Escenarios</t>
        </is>
      </c>
      <c r="E198" s="5" t="inlineStr">
        <is>
          <t>cronograma-GT41.xlsx (copia de cronograma-base.xlsx)</t>
        </is>
      </c>
      <c r="F198" s="5" t="inlineStr">
        <is>
          <t>La hoja Escenarios trae cinco escenarios de ejemplo. Pulsa Comparar escenarios. Se crea la hoja Resultados_Escenarios y el panel muestra «Escenarios «¿qué pasa si?»». Comprueba:
- «Trabajar los sábados» adelanta el P80 unos 54 días, y la meta pasa a cumplirse en el 97 %.
- «Acelerar la estructura» lo adelanta unos 13 días.
- «Sin el riesgo de la licencia», unos 8.
Escribe un cambio mal formado (por ejemplo «Quitar riesgo» sobre «R9»): el panel señala la celda.</t>
        </is>
      </c>
      <c r="G198" s="5" t="inlineStr">
        <is>
          <t>(Lo esperado está en los pasos.)</t>
        </is>
      </c>
      <c r="H198" s="5" t="inlineStr">
        <is>
          <t>Pendiente</t>
        </is>
      </c>
      <c r="I198" s="5" t="n"/>
      <c r="J198" s="5" t="n"/>
      <c r="K198" s="7" t="n"/>
    </row>
    <row r="199">
      <c r="A199" s="5" t="n">
        <v>198</v>
      </c>
      <c r="B199" s="5" t="inlineStr">
        <is>
          <t>17. GT41–GT55 · Lo traído al unir las ramas</t>
        </is>
      </c>
      <c r="C199" s="6" t="inlineStr">
        <is>
          <t>GT49</t>
        </is>
      </c>
      <c r="D199" s="5" t="inlineStr">
        <is>
          <t>Rellenar rangos vacíos</t>
        </is>
      </c>
      <c r="E199" s="5" t="inlineStr">
        <is>
          <t>cronograma-GT41.xlsx (copia de cronograma-base.xlsx)</t>
        </is>
      </c>
      <c r="F199" s="5" t="inlineStr">
        <is>
          <t>Borra dos filas de la hoja Incertidumbre y pulsa Rellenar rangos vacíos. Se añaden los rangos de esas actividades según su tipo, tomado de la hoja Rangos_Tipo. Pulsa otra vez: «Todas las tareas ya tienen un rango». En Revisar calidad, el criterio «Rangos realistas (sin sesgo optimista)» avisa si un rango es demasiado estrecho; por ejemplo, pon el máximo igual al más probable.</t>
        </is>
      </c>
      <c r="G199" s="5" t="inlineStr">
        <is>
          <t>(Lo esperado está en los pasos.)</t>
        </is>
      </c>
      <c r="H199" s="5" t="inlineStr">
        <is>
          <t>Pendiente</t>
        </is>
      </c>
      <c r="I199" s="5" t="n"/>
      <c r="J199" s="5" t="n"/>
      <c r="K199" s="7" t="n"/>
    </row>
    <row r="200">
      <c r="A200" s="5" t="n">
        <v>199</v>
      </c>
      <c r="B200" s="5" t="inlineStr">
        <is>
          <t>17. GT41–GT55 · Lo traído al unir las ramas</t>
        </is>
      </c>
      <c r="C200" s="6" t="inlineStr">
        <is>
          <t>GT50</t>
        </is>
      </c>
      <c r="D200" s="5" t="inlineStr">
        <is>
          <t>Seguimiento</t>
        </is>
      </c>
      <c r="E200" s="5" t="inlineStr">
        <is>
          <t>cronograma-GT41.xlsx (copia de cronograma-base.xlsx)</t>
        </is>
      </c>
      <c r="F200" s="5" t="inlineStr">
        <is>
          <t>Tras simular, pulsa Guardar en el seguimiento. Se añade una fila con la fecha de corte a la hoja Seguimiento. Cambia algo, simula y guarda otra vez. En Resultados, «Seguimiento en el tiempo» dibuja la tendencia de P50 y P80 con los cortes.</t>
        </is>
      </c>
      <c r="G200" s="5" t="inlineStr">
        <is>
          <t>(Lo esperado está en los pasos.)</t>
        </is>
      </c>
      <c r="H200" s="5" t="inlineStr">
        <is>
          <t>Pendiente</t>
        </is>
      </c>
      <c r="I200" s="5" t="n"/>
      <c r="J200" s="5" t="n"/>
      <c r="K200" s="7" t="n"/>
    </row>
    <row r="201">
      <c r="A201" s="5" t="n">
        <v>200</v>
      </c>
      <c r="B201" s="5" t="inlineStr">
        <is>
          <t>17. GT41–GT55 · Lo traído al unir las ramas</t>
        </is>
      </c>
      <c r="C201" s="6" t="inlineStr">
        <is>
          <t>GT51</t>
        </is>
      </c>
      <c r="D201" s="5" t="inlineStr">
        <is>
          <t>Vista previa mientras edito</t>
        </is>
      </c>
      <c r="E201" s="5" t="inlineStr">
        <is>
          <t>cronograma-GT41.xlsx (copia de cronograma-base.xlsx)</t>
        </is>
      </c>
      <c r="F201" s="5" t="inlineStr">
        <is>
          <t>Marca «Vista previa del plazo mientras edito». Cambia la duración de E en la hoja Actividades. A los 3 s aparece «Vista previa a las …» con P50, P80 y las probabilidades (1.000 iteraciones). Desmárcala y deja de recalcular.</t>
        </is>
      </c>
      <c r="G201" s="5" t="inlineStr">
        <is>
          <t>(Lo esperado está en los pasos.)</t>
        </is>
      </c>
      <c r="H201" s="5" t="inlineStr">
        <is>
          <t>Pendiente</t>
        </is>
      </c>
      <c r="I201" s="5" t="n"/>
      <c r="J201" s="5" t="n"/>
      <c r="K201" s="7" t="n"/>
    </row>
    <row r="202">
      <c r="A202" s="5" t="n">
        <v>201</v>
      </c>
      <c r="B202" s="5" t="inlineStr">
        <is>
          <t>17. GT41–GT55 · Lo traído al unir las ramas</t>
        </is>
      </c>
      <c r="C202" s="6" t="inlineStr">
        <is>
          <t>GT52</t>
        </is>
      </c>
      <c r="D202" s="5" t="inlineStr">
        <is>
          <t>Exportar a P6</t>
        </is>
      </c>
      <c r="E202" s="5" t="inlineStr">
        <is>
          <t>cronograma-GT41.xlsx (copia de cronograma-base.xlsx)</t>
        </is>
      </c>
      <c r="F202" s="5" t="inlineStr">
        <is>
          <t>Ver Gantt → Imprimir y exportar… → Primavera P6 (XER). Se descarga un .xer. Ábrelo en P6 o en un editor de texto: lleva las actividades, las relaciones y el calendario. El MSPDI (MS Project) ahora trae, además, los campos del análisis (P50, P80, criticidad) como campos personalizados.</t>
        </is>
      </c>
      <c r="G202" s="5" t="inlineStr">
        <is>
          <t>(Lo esperado está en los pasos.)</t>
        </is>
      </c>
      <c r="H202" s="5" t="inlineStr">
        <is>
          <t>Pendiente</t>
        </is>
      </c>
      <c r="I202" s="5" t="n"/>
      <c r="J202" s="5" t="n"/>
      <c r="K202" s="7" t="n"/>
    </row>
    <row r="203">
      <c r="A203" s="5" t="n">
        <v>202</v>
      </c>
      <c r="B203" s="5" t="inlineStr">
        <is>
          <t>17. GT41–GT55 · Lo traído al unir las ramas</t>
        </is>
      </c>
      <c r="C203" s="6" t="inlineStr">
        <is>
          <t>GT53</t>
        </is>
      </c>
      <c r="D203" s="5" t="inlineStr">
        <is>
          <t>Informe configurable</t>
        </is>
      </c>
      <c r="E203" s="5" t="inlineStr">
        <is>
          <t>cronograma-GT41.xlsx (copia de cronograma-base.xlsx)</t>
        </is>
      </c>
      <c r="F203" s="5" t="inlineStr">
        <is>
          <t>En ⚙ Configuración, «Plantilla del informe PDF»: título, subtítulo, empresa, autor, logo, pie, color, tamaño y orientación del papel, y qué secciones van y en qué orden. Quita «Registro de riesgos», pon un logo y abre el Informe ejecutivo del cronograma: la portada lleva el logo y la sección quitada no sale. Lo mismo vale para el informe del modelo de costos.</t>
        </is>
      </c>
      <c r="G203" s="5" t="inlineStr">
        <is>
          <t>(Lo esperado está en los pasos.)</t>
        </is>
      </c>
      <c r="H203" s="5" t="inlineStr">
        <is>
          <t>Pendiente</t>
        </is>
      </c>
      <c r="I203" s="5" t="n"/>
      <c r="J203" s="5" t="n"/>
      <c r="K203" s="7" t="n"/>
    </row>
    <row r="204">
      <c r="A204" s="5" t="n">
        <v>203</v>
      </c>
      <c r="B204" s="5" t="inlineStr">
        <is>
          <t>17. GT41–GT55 · Lo traído al unir las ramas</t>
        </is>
      </c>
      <c r="C204" s="6" t="inlineStr">
        <is>
          <t>GT54</t>
        </is>
      </c>
      <c r="D204" s="5" t="inlineStr">
        <is>
          <t>RIESGO.CRONOGRAMA: el plazo dentro del modelo de costos</t>
        </is>
      </c>
      <c r="E204" s="5" t="inlineStr">
        <is>
          <t>cronograma-GT41.xlsx (copia de cronograma-base.xlsx)</t>
        </is>
      </c>
      <c r="F204" s="5" t="inlineStr">
        <is>
          <t>En cronograma-GT41.xlsx, con todo como en cronograma-base:
1. Pestaña Cronograma del panel → Simular cronograma (así el panel publica el plan que leen las fórmulas).
2. En Excel, añade una hoja con el + de abajo y llámala Costos_Modelo.
3. Escribe:
- Celda · Escribe · Esperado en la celda
- A1 · Días del proyecto
- B1 · =RIESGO.CRONOGRAMA("Proyecto";"dias") · 218 (días laborables del plan, sin riesgos)
- A2 · Retraso de la entrega
- B2 · =RIESGO.CRONOGRAMA("L";"retraso") · 0 (en el plan, L llega a tiempo)
- A3 · Tarifa diaria de indirectos
- B3 · 2500000
- A4 · Indirectos
- B4 · =B1*B3 · 545.000.000
Excel debe proponer RIESGO.CRONOGRAMA al escribir =RIESGO.CR; si no, haz el arranque limpio del paso 2.
4. Selecciona B4, y en el panel, pestaña Modelo, márcala como salida. Pulsa Simular (el del modelo).
5. Esperado: simula sin errores. En Resultados, la salida «Indirectos» tiene una media en torno a 642 millones (entre 635 y 650: unos 257 días de media, como el cronograma, por 2.500.000).
6. Un hito que no existe: en B5 escribe =RIESGO.CRONOGRAMA("ZZ";"fecha"). Esperado: #N/A; al pulsar el rombo de aviso de la celda, dice «No hay ninguna actividad con el ID o el nombre «ZZ»». Pulsa Simular (modelo): no simula y explica lo mismo. Borra B5.
7. Una medida que no corresponde: en B5 escribe =RIESGO.CRONOGRAMA("E";"multa"). Esperado: #N/A con «E no tiene fecha contractual en la hoja «Hitos_Contrato»». Borra B5.</t>
        </is>
      </c>
      <c r="G204" s="5" t="inlineStr">
        <is>
          <t>(Lo esperado va en cada paso numerado.)</t>
        </is>
      </c>
      <c r="H204" s="5" t="inlineStr">
        <is>
          <t>Pendiente</t>
        </is>
      </c>
      <c r="I204" s="5" t="n"/>
      <c r="J204" s="5" t="n"/>
      <c r="K204" s="7" t="n"/>
    </row>
    <row r="205">
      <c r="A205" s="5" t="n">
        <v>204</v>
      </c>
      <c r="B205" s="5" t="inlineStr">
        <is>
          <t>17. GT41–GT55 · Lo traído al unir las ramas</t>
        </is>
      </c>
      <c r="C205" s="6" t="inlineStr">
        <is>
          <t>GT55</t>
        </is>
      </c>
      <c r="D205" s="5" t="inlineStr">
        <is>
          <t>Validación publicada</t>
        </is>
      </c>
      <c r="E205" s="5" t="inlineStr">
        <is>
          <t>PowerShell, en la carpeta del proyecto</t>
        </is>
      </c>
      <c r="F205" s="5" t="inlineStr">
        <is>
          <t>npm run validacion:cronograma (consola) recalcula 13 casos publicados (GAO y referencias) y escribe docs/VALIDACION_CRONOGRAMA.md: 41 comprobaciones, todas OK.</t>
        </is>
      </c>
      <c r="G205" s="5" t="inlineStr">
        <is>
          <t>(Lo esperado está en los pasos.)</t>
        </is>
      </c>
      <c r="H205" s="5" t="inlineStr">
        <is>
          <t>Pendiente</t>
        </is>
      </c>
      <c r="I205" s="5" t="n"/>
      <c r="J205" s="5" t="n"/>
      <c r="K205" s="7" t="n"/>
    </row>
    <row r="206">
      <c r="A206" s="5" t="n">
        <v>205</v>
      </c>
      <c r="B206" s="5" t="inlineStr">
        <is>
          <t>18. I · Libros de fidelidad</t>
        </is>
      </c>
      <c r="C206" s="6" t="inlineStr">
        <is>
          <t>I1</t>
        </is>
      </c>
      <c r="D206" s="5" t="inlineStr">
        <is>
          <t>tests\fixtures\fidelidad-tanda7.xlsx (LET, 14 casos).</t>
        </is>
      </c>
      <c r="E206" s="5" t="inlineStr">
        <is>
          <t>Copia de tests\fixtures\fidelidad-tanda7.xlsx</t>
        </is>
      </c>
      <c r="F206" s="5" t="inlineStr">
        <is>
          <t>tests\fixtures\fidelidad-tanda7.xlsx (LET, 14 casos).</t>
        </is>
      </c>
      <c r="G206" s="5" t="inlineStr">
        <is>
          <t>(Lo esperado está en los pasos.)</t>
        </is>
      </c>
      <c r="H206" s="5" t="inlineStr">
        <is>
          <t>Pendiente</t>
        </is>
      </c>
      <c r="I206" s="5" t="n"/>
      <c r="J206" s="5" t="n"/>
      <c r="K206" s="7" t="n"/>
    </row>
    <row r="207">
      <c r="A207" s="5" t="n">
        <v>206</v>
      </c>
      <c r="B207" s="5" t="inlineStr">
        <is>
          <t>18. I · Libros de fidelidad</t>
        </is>
      </c>
      <c r="C207" s="6" t="inlineStr">
        <is>
          <t>I2</t>
        </is>
      </c>
      <c r="D207" s="5" t="inlineStr">
        <is>
          <t>tests\fixtures\fidelidad-tanda8.xlsx (matrices, 27 casos).</t>
        </is>
      </c>
      <c r="E207" s="5" t="inlineStr">
        <is>
          <t>Copia de tests\fixtures\fidelidad-tanda8.xlsx</t>
        </is>
      </c>
      <c r="F207" s="5" t="inlineStr">
        <is>
          <t>tests\fixtures\fidelidad-tanda8.xlsx (matrices, 27 casos).</t>
        </is>
      </c>
      <c r="G207" s="5" t="inlineStr">
        <is>
          <t>(Lo esperado está en los pasos.)</t>
        </is>
      </c>
      <c r="H207" s="5" t="inlineStr">
        <is>
          <t>Pendiente</t>
        </is>
      </c>
      <c r="I207" s="5" t="n"/>
      <c r="J207" s="5" t="n"/>
      <c r="K207" s="7" t="n"/>
    </row>
    <row r="208">
      <c r="A208" s="5" t="n">
        <v>207</v>
      </c>
      <c r="B208" s="5" t="inlineStr">
        <is>
          <t>18. I · Libros de fidelidad</t>
        </is>
      </c>
      <c r="C208" s="6" t="inlineStr">
        <is>
          <t>I3</t>
        </is>
      </c>
      <c r="D208" s="5" t="inlineStr">
        <is>
          <t>tests\fixtures\fidelidad-lambda.xlsx (LAMBDA, 23 casos; es N33).</t>
        </is>
      </c>
      <c r="E208" s="5" t="inlineStr">
        <is>
          <t>Copia de tests\fixtures\fidelidad-lambda.xlsx</t>
        </is>
      </c>
      <c r="F208" s="5" t="inlineStr">
        <is>
          <t>tests\fixtures\fidelidad-lambda.xlsx (LAMBDA, 23 casos; es N33).
Como son copias, la carpeta del proyecto queda limpia para el próximo pull.</t>
        </is>
      </c>
      <c r="G208" s="5" t="inlineStr">
        <is>
          <t>(Lo esperado está en los pasos.)</t>
        </is>
      </c>
      <c r="H208" s="5" t="inlineStr">
        <is>
          <t>Pendiente</t>
        </is>
      </c>
      <c r="I208" s="5" t="n"/>
      <c r="J208" s="5" t="n"/>
      <c r="K208" s="7" t="n"/>
    </row>
    <row r="209">
      <c r="A209" s="5" t="n">
        <v>208</v>
      </c>
      <c r="B209" s="5" t="inlineStr">
        <is>
          <t>19. W · Excel para la Web (opcional)</t>
        </is>
      </c>
      <c r="C209" s="6" t="inlineStr">
        <is>
          <t>W1</t>
        </is>
      </c>
      <c r="D209" s="5" t="inlineStr">
        <is>
          <t>Aparece la pestaña Riesgo y el panel se abre.</t>
        </is>
      </c>
      <c r="E209" s="5" t="inlineStr">
        <is>
          <t>Copia de aurora-base.xlsx en OneDrive</t>
        </is>
      </c>
      <c r="F209" s="5" t="inlineStr">
        <is>
          <t>Aparece la pestaña Riesgo y el panel se abre.</t>
        </is>
      </c>
      <c r="G209" s="5" t="inlineStr">
        <is>
          <t>(Lo esperado está en los pasos.)</t>
        </is>
      </c>
      <c r="H209" s="5" t="inlineStr">
        <is>
          <t>Pendiente</t>
        </is>
      </c>
      <c r="I209" s="5" t="n"/>
      <c r="J209" s="5" t="n"/>
      <c r="K209" s="7" t="n"/>
    </row>
    <row r="210">
      <c r="A210" s="5" t="n">
        <v>209</v>
      </c>
      <c r="B210" s="5" t="inlineStr">
        <is>
          <t>19. W · Excel para la Web (opcional)</t>
        </is>
      </c>
      <c r="C210" s="6" t="inlineStr">
        <is>
          <t>W2</t>
        </is>
      </c>
      <c r="D210" s="5" t="inlineStr">
        <is>
          <t>Marca el modelo de A5 y simula:</t>
        </is>
      </c>
      <c r="E210" s="5" t="inlineStr">
        <is>
          <t>Copia de aurora-base.xlsx en OneDrive</t>
        </is>
      </c>
      <c r="F210" s="5" t="inlineStr">
        <is>
          <t>Marca el modelo de A5 y simula: resultados como en Windows. Apunta cuántos hilos dice «Cómo se calculó».</t>
        </is>
      </c>
      <c r="G210" s="5" t="inlineStr">
        <is>
          <t>(Lo esperado está en los pasos.)</t>
        </is>
      </c>
      <c r="H210" s="5" t="inlineStr">
        <is>
          <t>Pendiente</t>
        </is>
      </c>
      <c r="I210" s="5" t="n"/>
      <c r="J210" s="5" t="n"/>
      <c r="K210" s="7" t="n"/>
    </row>
    <row r="211">
      <c r="A211" s="5" t="n">
        <v>210</v>
      </c>
      <c r="B211" s="5" t="inlineStr">
        <is>
          <t>19. W · Excel para la Web (opcional)</t>
        </is>
      </c>
      <c r="C211" s="6" t="inlineStr">
        <is>
          <t>W3</t>
        </is>
      </c>
      <c r="D211" s="5" t="inlineStr">
        <is>
          <t>Pestaña Diagnóstico:</t>
        </is>
      </c>
      <c r="E211" s="5" t="inlineStr">
        <is>
          <t>Copia de aurora-base.xlsx en OneDrive</t>
        </is>
      </c>
      <c r="F211" s="5" t="inlineStr">
        <is>
          <t>Pestaña Diagnóstico: apunta la versión de ExcelApi.</t>
        </is>
      </c>
      <c r="G211" s="5" t="inlineStr">
        <is>
          <t>(Lo esperado está en los pasos.)</t>
        </is>
      </c>
      <c r="H211" s="5" t="inlineStr">
        <is>
          <t>Pendiente</t>
        </is>
      </c>
      <c r="I211" s="5" t="n"/>
      <c r="J211" s="5" t="n"/>
      <c r="K211" s="7" t="n"/>
    </row>
    <row r="212">
      <c r="A212" s="5" t="n">
        <v>211</v>
      </c>
      <c r="B212" s="5" t="inlineStr">
        <is>
          <t>19. W · Excel para la Web (opcional)</t>
        </is>
      </c>
      <c r="C212" s="6" t="inlineStr">
        <is>
          <t>W4</t>
        </is>
      </c>
      <c r="D212" s="5" t="inlineStr">
        <is>
          <t>Volcar a una hoja (¿salen los cuatro gráficos?), y cerrar y reabrir el libro.</t>
        </is>
      </c>
      <c r="E212" s="5" t="inlineStr">
        <is>
          <t>Copia de aurora-base.xlsx en OneDrive</t>
        </is>
      </c>
      <c r="F212" s="5" t="inlineStr">
        <is>
          <t>Volcar a una hoja (¿salen los cuatro gráficos?), y cerrar y reabrir el libro.</t>
        </is>
      </c>
      <c r="G212" s="5" t="inlineStr">
        <is>
          <t>(Lo esperado está en los pasos.)</t>
        </is>
      </c>
      <c r="H212" s="5" t="inlineStr">
        <is>
          <t>Pendiente</t>
        </is>
      </c>
      <c r="I212" s="5" t="n"/>
      <c r="J212" s="5" t="n"/>
      <c r="K212" s="7" t="n"/>
    </row>
    <row r="213">
      <c r="A213" s="5" t="n">
        <v>212</v>
      </c>
      <c r="B213" s="5" t="inlineStr">
        <is>
          <t>19. W · Excel para la Web (opcional)</t>
        </is>
      </c>
      <c r="C213" s="6" t="inlineStr">
        <is>
          <t>W5</t>
        </is>
      </c>
      <c r="D213" s="5" t="inlineStr">
        <is>
          <t>En la hoja «Pruebas», en C5, escribe =RIESGO.NORMAL(1000;150).</t>
        </is>
      </c>
      <c r="E213" s="5" t="inlineStr">
        <is>
          <t>Copia de aurora-base.xlsx en OneDrive</t>
        </is>
      </c>
      <c r="F213" s="5" t="inlineStr">
        <is>
          <t>En la hoja «Pruebas», en C5, escribe =RIESGO.NORMAL(1000;150).
- Esperado: vale 1000.
- Si sale #¿NOMBRE? o no aparece: abre las herramientas del navegador (F12 → Consola) y mándame una captura de los errores en rojo.</t>
        </is>
      </c>
      <c r="G213" s="5" t="inlineStr">
        <is>
          <t>(Lo esperado está en los pasos.)</t>
        </is>
      </c>
      <c r="H213" s="5" t="inlineStr">
        <is>
          <t>Pendiente</t>
        </is>
      </c>
      <c r="I213" s="5" t="n"/>
      <c r="J213" s="5" t="n"/>
      <c r="K213" s="7" t="n"/>
    </row>
    <row r="214">
      <c r="A214" s="5" t="n">
        <v>213</v>
      </c>
      <c r="B214" s="5" t="inlineStr">
        <is>
          <t>19. W · Excel para la Web (opcional)</t>
        </is>
      </c>
      <c r="C214" s="6" t="inlineStr">
        <is>
          <t>W6</t>
        </is>
      </c>
      <c r="D214" s="5" t="inlineStr">
        <is>
          <t>En «Zonas», repite T1–T3:</t>
        </is>
      </c>
      <c r="E214" s="5" t="inlineStr">
        <is>
          <t>Copia de aurora-base.xlsx en OneDrive</t>
        </is>
      </c>
      <c r="F214" s="5" t="inlineStr">
        <is>
          <t>En «Zonas», repite T1–T3: la entrada de texto y la gama.</t>
        </is>
      </c>
      <c r="G214" s="5" t="inlineStr">
        <is>
          <t>(Lo esperado está en los pasos.)</t>
        </is>
      </c>
      <c r="H214" s="5" t="inlineStr">
        <is>
          <t>Pendiente</t>
        </is>
      </c>
      <c r="I214" s="5" t="n"/>
      <c r="J214" s="5" t="n"/>
      <c r="K214" s="7" t="n"/>
    </row>
    <row r="215">
      <c r="A215" s="5" t="n">
        <v>214</v>
      </c>
      <c r="B215" s="5" t="inlineStr">
        <is>
          <t>19. W · Excel para la Web (opcional)</t>
        </is>
      </c>
      <c r="C215" s="6" t="inlineStr">
        <is>
          <t>W7</t>
        </is>
      </c>
      <c r="D215" s="5" t="inlineStr">
        <is>
          <t>Resultados en la hoja en la Web</t>
        </is>
      </c>
      <c r="E215" s="5" t="inlineStr">
        <is>
          <t>Copia de aurora-base.xlsx en OneDrive</t>
        </is>
      </c>
      <c r="F215" s="5" t="inlineStr">
        <is>
          <t>En «Pruebas», repite F12, F16 y F17 (RIESGO con celdas y RIESGO.MEDIA).
- Esperado: como en Windows. Si las funciones de la sección 8 se quedan en #N/D después de simular, dímelo: es la parte que más depende de la plataforma.
Mac: lo mismo, cargando el manifiesto en Excel para Mac. Si no tienes, sáltalo.</t>
        </is>
      </c>
      <c r="G215" s="5" t="inlineStr">
        <is>
          <t>(Lo esperado está en los pasos.)</t>
        </is>
      </c>
      <c r="H215" s="5" t="inlineStr">
        <is>
          <t>Pendiente</t>
        </is>
      </c>
      <c r="I215" s="5" t="n"/>
      <c r="J215" s="5" t="n"/>
      <c r="K215" s="7" t="n"/>
    </row>
    <row r="216">
      <c r="A216" s="5" t="n">
        <v>215</v>
      </c>
      <c r="B216" s="5" t="inlineStr">
        <is>
          <t>20. Q1–Q4 · ProjectLibre (opcional, sin Excel)</t>
        </is>
      </c>
      <c r="C216" s="6" t="inlineStr">
        <is>
          <t>Q1</t>
        </is>
      </c>
      <c r="D216" s="5" t="inlineStr">
        <is>
          <t>Abrir cada cronograma</t>
        </is>
      </c>
      <c r="E216" s="5" t="inlineStr">
        <is>
          <t>tests\fixtures\qrsa\*.xml en ProjectLibre</t>
        </is>
      </c>
      <c r="F216" s="5" t="inlineStr">
        <is>
          <t>En ProjectLibre: Archivo → Abrir, y elige R1-simple.xml (luego R2-relaciones.xml y R3-calendario.xml). Si pregunta cómo importarlo, acepta lo que propone. El proyecto empieza el lunes 04/01/2027.</t>
        </is>
      </c>
      <c r="G216" s="5" t="inlineStr">
        <is>
          <t>(Lo esperado está en los pasos.)</t>
        </is>
      </c>
      <c r="H216" s="5" t="inlineStr">
        <is>
          <t>Pendiente</t>
        </is>
      </c>
      <c r="I216" s="5" t="n"/>
      <c r="J216" s="5" t="n"/>
      <c r="K216" s="7" t="n"/>
    </row>
    <row r="217">
      <c r="A217" s="5" t="n">
        <v>216</v>
      </c>
      <c r="B217" s="5" t="inlineStr">
        <is>
          <t>20. Q1–Q4 · ProjectLibre (opcional, sin Excel)</t>
        </is>
      </c>
      <c r="C217" s="6" t="inlineStr">
        <is>
          <t>Q2</t>
        </is>
      </c>
      <c r="D217" s="5" t="inlineStr">
        <is>
          <t>Poner las columnas</t>
        </is>
      </c>
      <c r="E217" s="5" t="inlineStr">
        <is>
          <t>tests\fixtures\qrsa\*.xml en ProjectLibre</t>
        </is>
      </c>
      <c r="F217" s="5" t="inlineStr">
        <is>
          <t>En la tabla de tareas deben verse Inicio, Fin y Holgura total. Si falta la holgura: clic derecho en el encabezado de una columna → Insertar columna → «Holgura total» (puede llamarse «Margen total» o «Total Slack», según el idioma).</t>
        </is>
      </c>
      <c r="G217" s="5" t="inlineStr">
        <is>
          <t>(Lo esperado está en los pasos.)</t>
        </is>
      </c>
      <c r="H217" s="5" t="inlineStr">
        <is>
          <t>Pendiente</t>
        </is>
      </c>
      <c r="I217" s="5" t="n"/>
      <c r="J217" s="5" t="n"/>
      <c r="K217" s="7" t="n"/>
    </row>
    <row r="218">
      <c r="A218" s="5" t="n">
        <v>217</v>
      </c>
      <c r="B218" s="5" t="inlineStr">
        <is>
          <t>20. Q1–Q4 · ProjectLibre (opcional, sin Excel)</t>
        </is>
      </c>
      <c r="C218" s="6" t="inlineStr">
        <is>
          <t>Q3</t>
        </is>
      </c>
      <c r="D218" s="5" t="inlineStr">
        <is>
          <t>Comparar</t>
        </is>
      </c>
      <c r="E218" s="5" t="inlineStr">
        <is>
          <t>tests\fixtures\qrsa\*.xml en ProjectLibre</t>
        </is>
      </c>
      <c r="F218" s="5" t="inlineStr">
        <is>
          <t>con el archivo *-esperado.csv del mismo nombre (se abre con Excel o el Bloc de notas). Lo que espero:
- Cronograma · Qué prueba · Termina · Detalles para mirar
- R1 · Solo fin–comienzo · 21/01/2027 · C y E con 4 días de holgura; el resto en 0
- R2 · Comienzo–comienzo, fin–fin, comienzo–fin, un desfase negativo, «no comenzar antes de» y «terminar no después de» · 25/02/2027 · G y H con holgura −1: la fecha límite del 24/02 no se cumple
- R3 · Calendario con los festivos de Colombia de 2027 y un desfase de 7 días calendario (el curado) · 24/11/2027 · E termina el 05/08 y F empieza el 13/08; G con 5 días de holgura y C con 31
Un hito (duración 0, como M en R1 o J en R3) puede salir en ProjectLibre el día anterior al del CSV: él lo pone al final del día en que termina su predecesora y yo al comienzo del día laborable siguiente. Es la misma fecha.</t>
        </is>
      </c>
      <c r="G218" s="5" t="inlineStr">
        <is>
          <t>(Lo esperado está en los pasos.)</t>
        </is>
      </c>
      <c r="H218" s="5" t="inlineStr">
        <is>
          <t>Pendiente</t>
        </is>
      </c>
      <c r="I218" s="5" t="n"/>
      <c r="J218" s="5" t="n"/>
      <c r="K218" s="7" t="n"/>
    </row>
    <row r="219">
      <c r="A219" s="5" t="n">
        <v>218</v>
      </c>
      <c r="B219" s="5" t="inlineStr">
        <is>
          <t>20. Q1–Q4 · ProjectLibre (opcional, sin Excel)</t>
        </is>
      </c>
      <c r="C219" s="6" t="inlineStr">
        <is>
          <t>Q4</t>
        </is>
      </c>
      <c r="D219" s="5" t="inlineStr">
        <is>
          <t>Mandarme el resultado</t>
        </is>
      </c>
      <c r="E219" s="5" t="inlineStr">
        <is>
          <t>tests\fixtures\qrsa\*.xml en ProjectLibre</t>
        </is>
      </c>
      <c r="F219" s="5" t="inlineStr">
        <is>
          <t>Lo más cómodo, cualquiera de los dos:
- una captura de la tabla de cada cronograma con Inicio, Fin y Holgura total; o
- Archivo → Guardar como → formato XML de MS Project (R1-projectlibre.xml, etc.), y me adjuntas los tres archivos.
Dime también la versión de ProjectLibre (Ayuda → Acerca de). Si algo no coincide, no lo corrijas a mano: mándamelo tal cual, y vemos si es un error mío o una convención del programa.</t>
        </is>
      </c>
      <c r="G219" s="5" t="inlineStr">
        <is>
          <t>(Lo esperado está en los pasos.)</t>
        </is>
      </c>
      <c r="H219" s="5" t="inlineStr">
        <is>
          <t>Pendiente</t>
        </is>
      </c>
      <c r="I219" s="5" t="n"/>
      <c r="J219" s="5" t="n"/>
      <c r="K219" s="7" t="n"/>
    </row>
  </sheetData>
  <autoFilter ref="A1:K219"/>
  <conditionalFormatting sqref="H2:H219">
    <cfRule type="expression" priority="1" dxfId="0">
      <formula>$H2="OK"</formula>
    </cfRule>
    <cfRule type="expression" priority="2" dxfId="1">
      <formula>$H2="Falla"</formula>
    </cfRule>
    <cfRule type="expression" priority="3" dxfId="2">
      <formula>$H2="No aplica"</formula>
    </cfRule>
    <cfRule type="expression" priority="4" dxfId="3">
      <formula>$H2="Pendiente"</formula>
    </cfRule>
  </conditionalFormatting>
  <conditionalFormatting sqref="A2:G219">
    <cfRule type="expression" priority="5" dxfId="4">
      <formula>$H2="Falla"</formula>
    </cfRule>
  </conditionalFormatting>
  <dataValidations count="2">
    <dataValidation sqref="H2:H219" showDropDown="0" showInputMessage="0" showErrorMessage="0" allowBlank="1" errorTitle="Resultado" error="Elige OK, Falla, No aplica o Pendiente" type="list">
      <formula1>"OK,Falla,No aplica,Pendiente"</formula1>
    </dataValidation>
    <dataValidation sqref="K2:K219" showDropDown="0" showInputMessage="0" showErrorMessage="0" allowBlank="1" type="date" operator="greaterThan">
      <formula1>45000</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58" customWidth="1" min="1" max="1"/>
    <col width="10" customWidth="1" min="2" max="2"/>
    <col width="8" customWidth="1" min="3" max="3"/>
    <col width="8" customWidth="1" min="4" max="4"/>
    <col width="10" customWidth="1" min="5" max="5"/>
    <col width="11" customWidth="1" min="6" max="6"/>
    <col width="9" customWidth="1" min="7" max="7"/>
  </cols>
  <sheetData>
    <row r="1">
      <c r="A1" s="8" t="inlineStr">
        <is>
          <t>Bloque</t>
        </is>
      </c>
      <c r="B1" s="8" t="inlineStr">
        <is>
          <t>Pruebas</t>
        </is>
      </c>
      <c r="C1" s="8" t="inlineStr">
        <is>
          <t>OK</t>
        </is>
      </c>
      <c r="D1" s="8" t="inlineStr">
        <is>
          <t>Falla</t>
        </is>
      </c>
      <c r="E1" s="8" t="inlineStr">
        <is>
          <t>No aplica</t>
        </is>
      </c>
      <c r="F1" s="8" t="inlineStr">
        <is>
          <t>Pendiente</t>
        </is>
      </c>
      <c r="G1" s="8" t="inlineStr">
        <is>
          <t>% hecho</t>
        </is>
      </c>
    </row>
    <row r="2">
      <c r="A2" s="9" t="inlineStr">
        <is>
          <t>01. Preparación (P0)</t>
        </is>
      </c>
      <c r="B2" s="9">
        <f>COUNTIF(Pruebas!$B$2:$B$219,A2)</f>
        <v/>
      </c>
      <c r="C2" s="9">
        <f>COUNTIFS(Pruebas!$B$2:$B$219,A2,Pruebas!$H$2:$H$219,"OK")</f>
        <v/>
      </c>
      <c r="D2" s="9">
        <f>COUNTIFS(Pruebas!$B$2:$B$219,A2,Pruebas!$H$2:$H$219,"Falla")</f>
        <v/>
      </c>
      <c r="E2" s="9">
        <f>COUNTIFS(Pruebas!$B$2:$B$219,A2,Pruebas!$H$2:$H$219,"No aplica")</f>
        <v/>
      </c>
      <c r="F2" s="9">
        <f>COUNTIFS(Pruebas!$B$2:$B$219,A2,Pruebas!$H$2:$H$219,"Pendiente")</f>
        <v/>
      </c>
      <c r="G2" s="10">
        <f>IF(B2=0,"",1-F2/B2)</f>
        <v/>
      </c>
    </row>
    <row r="3">
      <c r="A3" s="9" t="inlineStr">
        <is>
          <t>02. A · Lo básico (hoja «Modelo»)</t>
        </is>
      </c>
      <c r="B3" s="9">
        <f>COUNTIF(Pruebas!$B$2:$B$219,A3)</f>
        <v/>
      </c>
      <c r="C3" s="9">
        <f>COUNTIFS(Pruebas!$B$2:$B$219,A3,Pruebas!$H$2:$H$219,"OK")</f>
        <v/>
      </c>
      <c r="D3" s="9">
        <f>COUNTIFS(Pruebas!$B$2:$B$219,A3,Pruebas!$H$2:$H$219,"Falla")</f>
        <v/>
      </c>
      <c r="E3" s="9">
        <f>COUNTIFS(Pruebas!$B$2:$B$219,A3,Pruebas!$H$2:$H$219,"No aplica")</f>
        <v/>
      </c>
      <c r="F3" s="9">
        <f>COUNTIFS(Pruebas!$B$2:$B$219,A3,Pruebas!$H$2:$H$219,"Pendiente")</f>
        <v/>
      </c>
      <c r="G3" s="10">
        <f>IF(B3=0,"",1-F3/B3)</f>
        <v/>
      </c>
    </row>
    <row r="4">
      <c r="A4" s="9" t="inlineStr">
        <is>
          <t>03. B · Configuración</t>
        </is>
      </c>
      <c r="B4" s="9">
        <f>COUNTIF(Pruebas!$B$2:$B$219,A4)</f>
        <v/>
      </c>
      <c r="C4" s="9">
        <f>COUNTIFS(Pruebas!$B$2:$B$219,A4,Pruebas!$H$2:$H$219,"OK")</f>
        <v/>
      </c>
      <c r="D4" s="9">
        <f>COUNTIFS(Pruebas!$B$2:$B$219,A4,Pruebas!$H$2:$H$219,"Falla")</f>
        <v/>
      </c>
      <c r="E4" s="9">
        <f>COUNTIFS(Pruebas!$B$2:$B$219,A4,Pruebas!$H$2:$H$219,"No aplica")</f>
        <v/>
      </c>
      <c r="F4" s="9">
        <f>COUNTIFS(Pruebas!$B$2:$B$219,A4,Pruebas!$H$2:$H$219,"Pendiente")</f>
        <v/>
      </c>
      <c r="G4" s="10">
        <f>IF(B4=0,"",1-F4/B4)</f>
        <v/>
      </c>
    </row>
    <row r="5">
      <c r="A5" s="9" t="inlineStr">
        <is>
          <t>04. C · Proyecto, informe PDF y hoja volcada</t>
        </is>
      </c>
      <c r="B5" s="9">
        <f>COUNTIF(Pruebas!$B$2:$B$219,A5)</f>
        <v/>
      </c>
      <c r="C5" s="9">
        <f>COUNTIFS(Pruebas!$B$2:$B$219,A5,Pruebas!$H$2:$H$219,"OK")</f>
        <v/>
      </c>
      <c r="D5" s="9">
        <f>COUNTIFS(Pruebas!$B$2:$B$219,A5,Pruebas!$H$2:$H$219,"Falla")</f>
        <v/>
      </c>
      <c r="E5" s="9">
        <f>COUNTIFS(Pruebas!$B$2:$B$219,A5,Pruebas!$H$2:$H$219,"No aplica")</f>
        <v/>
      </c>
      <c r="F5" s="9">
        <f>COUNTIFS(Pruebas!$B$2:$B$219,A5,Pruebas!$H$2:$H$219,"Pendiente")</f>
        <v/>
      </c>
      <c r="G5" s="10">
        <f>IF(B5=0,"",1-F5/B5)</f>
        <v/>
      </c>
    </row>
    <row r="6">
      <c r="A6" s="9" t="inlineStr">
        <is>
          <t>05. D · Escenarios</t>
        </is>
      </c>
      <c r="B6" s="9">
        <f>COUNTIF(Pruebas!$B$2:$B$219,A6)</f>
        <v/>
      </c>
      <c r="C6" s="9">
        <f>COUNTIFS(Pruebas!$B$2:$B$219,A6,Pruebas!$H$2:$H$219,"OK")</f>
        <v/>
      </c>
      <c r="D6" s="9">
        <f>COUNTIFS(Pruebas!$B$2:$B$219,A6,Pruebas!$H$2:$H$219,"Falla")</f>
        <v/>
      </c>
      <c r="E6" s="9">
        <f>COUNTIFS(Pruebas!$B$2:$B$219,A6,Pruebas!$H$2:$H$219,"No aplica")</f>
        <v/>
      </c>
      <c r="F6" s="9">
        <f>COUNTIFS(Pruebas!$B$2:$B$219,A6,Pruebas!$H$2:$H$219,"Pendiente")</f>
        <v/>
      </c>
      <c r="G6" s="10">
        <f>IF(B6=0,"",1-F6/B6)</f>
        <v/>
      </c>
    </row>
    <row r="7">
      <c r="A7" s="9" t="inlineStr">
        <is>
          <t>05. E · Ajustar a datos</t>
        </is>
      </c>
      <c r="B7" s="9">
        <f>COUNTIF(Pruebas!$B$2:$B$219,A7)</f>
        <v/>
      </c>
      <c r="C7" s="9">
        <f>COUNTIFS(Pruebas!$B$2:$B$219,A7,Pruebas!$H$2:$H$219,"OK")</f>
        <v/>
      </c>
      <c r="D7" s="9">
        <f>COUNTIFS(Pruebas!$B$2:$B$219,A7,Pruebas!$H$2:$H$219,"Falla")</f>
        <v/>
      </c>
      <c r="E7" s="9">
        <f>COUNTIFS(Pruebas!$B$2:$B$219,A7,Pruebas!$H$2:$H$219,"No aplica")</f>
        <v/>
      </c>
      <c r="F7" s="9">
        <f>COUNTIFS(Pruebas!$B$2:$B$219,A7,Pruebas!$H$2:$H$219,"Pendiente")</f>
        <v/>
      </c>
      <c r="G7" s="10">
        <f>IF(B7=0,"",1-F7/B7)</f>
        <v/>
      </c>
    </row>
    <row r="8">
      <c r="A8" s="9" t="inlineStr">
        <is>
          <t>06. K · Mismos números al repetir</t>
        </is>
      </c>
      <c r="B8" s="9">
        <f>COUNTIF(Pruebas!$B$2:$B$219,A8)</f>
        <v/>
      </c>
      <c r="C8" s="9">
        <f>COUNTIFS(Pruebas!$B$2:$B$219,A8,Pruebas!$H$2:$H$219,"OK")</f>
        <v/>
      </c>
      <c r="D8" s="9">
        <f>COUNTIFS(Pruebas!$B$2:$B$219,A8,Pruebas!$H$2:$H$219,"Falla")</f>
        <v/>
      </c>
      <c r="E8" s="9">
        <f>COUNTIFS(Pruebas!$B$2:$B$219,A8,Pruebas!$H$2:$H$219,"No aplica")</f>
        <v/>
      </c>
      <c r="F8" s="9">
        <f>COUNTIFS(Pruebas!$B$2:$B$219,A8,Pruebas!$H$2:$H$219,"Pendiente")</f>
        <v/>
      </c>
      <c r="G8" s="10">
        <f>IF(B8=0,"",1-F8/B8)</f>
        <v/>
      </c>
    </row>
    <row r="9">
      <c r="A9" s="9" t="inlineStr">
        <is>
          <t>07. N · Etapa 2 (runtime, cinta, explorador, funciones)</t>
        </is>
      </c>
      <c r="B9" s="9">
        <f>COUNTIF(Pruebas!$B$2:$B$219,A9)</f>
        <v/>
      </c>
      <c r="C9" s="9">
        <f>COUNTIFS(Pruebas!$B$2:$B$219,A9,Pruebas!$H$2:$H$219,"OK")</f>
        <v/>
      </c>
      <c r="D9" s="9">
        <f>COUNTIFS(Pruebas!$B$2:$B$219,A9,Pruebas!$H$2:$H$219,"Falla")</f>
        <v/>
      </c>
      <c r="E9" s="9">
        <f>COUNTIFS(Pruebas!$B$2:$B$219,A9,Pruebas!$H$2:$H$219,"No aplica")</f>
        <v/>
      </c>
      <c r="F9" s="9">
        <f>COUNTIFS(Pruebas!$B$2:$B$219,A9,Pruebas!$H$2:$H$219,"Pendiente")</f>
        <v/>
      </c>
      <c r="G9" s="10">
        <f>IF(B9=0,"",1-F9/B9)</f>
        <v/>
      </c>
    </row>
    <row r="10">
      <c r="A10" s="9" t="inlineStr">
        <is>
          <t>08. V3 y V4 · Comparar y asistente</t>
        </is>
      </c>
      <c r="B10" s="9">
        <f>COUNTIF(Pruebas!$B$2:$B$219,A10)</f>
        <v/>
      </c>
      <c r="C10" s="9">
        <f>COUNTIFS(Pruebas!$B$2:$B$219,A10,Pruebas!$H$2:$H$219,"OK")</f>
        <v/>
      </c>
      <c r="D10" s="9">
        <f>COUNTIFS(Pruebas!$B$2:$B$219,A10,Pruebas!$H$2:$H$219,"Falla")</f>
        <v/>
      </c>
      <c r="E10" s="9">
        <f>COUNTIFS(Pruebas!$B$2:$B$219,A10,Pruebas!$H$2:$H$219,"No aplica")</f>
        <v/>
      </c>
      <c r="F10" s="9">
        <f>COUNTIFS(Pruebas!$B$2:$B$219,A10,Pruebas!$H$2:$H$219,"Pendiente")</f>
        <v/>
      </c>
      <c r="G10" s="10">
        <f>IF(B10=0,"",1-F10/B10)</f>
        <v/>
      </c>
    </row>
    <row r="11">
      <c r="A11" s="9" t="inlineStr">
        <is>
          <t>09. R1–R4 · Correlaciones, P80, percentiles, compatible</t>
        </is>
      </c>
      <c r="B11" s="9">
        <f>COUNTIF(Pruebas!$B$2:$B$219,A11)</f>
        <v/>
      </c>
      <c r="C11" s="9">
        <f>COUNTIFS(Pruebas!$B$2:$B$219,A11,Pruebas!$H$2:$H$219,"OK")</f>
        <v/>
      </c>
      <c r="D11" s="9">
        <f>COUNTIFS(Pruebas!$B$2:$B$219,A11,Pruebas!$H$2:$H$219,"Falla")</f>
        <v/>
      </c>
      <c r="E11" s="9">
        <f>COUNTIFS(Pruebas!$B$2:$B$219,A11,Pruebas!$H$2:$H$219,"No aplica")</f>
        <v/>
      </c>
      <c r="F11" s="9">
        <f>COUNTIFS(Pruebas!$B$2:$B$219,A11,Pruebas!$H$2:$H$219,"Pendiente")</f>
        <v/>
      </c>
      <c r="G11" s="10">
        <f>IF(B11=0,"",1-F11/B11)</f>
        <v/>
      </c>
    </row>
    <row r="12">
      <c r="A12" s="9" t="inlineStr">
        <is>
          <t>10. F · Funciones RIESGO (hoja «Pruebas»)</t>
        </is>
      </c>
      <c r="B12" s="9">
        <f>COUNTIF(Pruebas!$B$2:$B$219,A12)</f>
        <v/>
      </c>
      <c r="C12" s="9">
        <f>COUNTIFS(Pruebas!$B$2:$B$219,A12,Pruebas!$H$2:$H$219,"OK")</f>
        <v/>
      </c>
      <c r="D12" s="9">
        <f>COUNTIFS(Pruebas!$B$2:$B$219,A12,Pruebas!$H$2:$H$219,"Falla")</f>
        <v/>
      </c>
      <c r="E12" s="9">
        <f>COUNTIFS(Pruebas!$B$2:$B$219,A12,Pruebas!$H$2:$H$219,"No aplica")</f>
        <v/>
      </c>
      <c r="F12" s="9">
        <f>COUNTIFS(Pruebas!$B$2:$B$219,A12,Pruebas!$H$2:$H$219,"Pendiente")</f>
        <v/>
      </c>
      <c r="G12" s="10">
        <f>IF(B12=0,"",1-F12/B12)</f>
        <v/>
      </c>
    </row>
    <row r="13">
      <c r="A13" s="9" t="inlineStr">
        <is>
          <t>10. G · LET, matrices y derrame</t>
        </is>
      </c>
      <c r="B13" s="9">
        <f>COUNTIF(Pruebas!$B$2:$B$219,A13)</f>
        <v/>
      </c>
      <c r="C13" s="9">
        <f>COUNTIFS(Pruebas!$B$2:$B$219,A13,Pruebas!$H$2:$H$219,"OK")</f>
        <v/>
      </c>
      <c r="D13" s="9">
        <f>COUNTIFS(Pruebas!$B$2:$B$219,A13,Pruebas!$H$2:$H$219,"Falla")</f>
        <v/>
      </c>
      <c r="E13" s="9">
        <f>COUNTIFS(Pruebas!$B$2:$B$219,A13,Pruebas!$H$2:$H$219,"No aplica")</f>
        <v/>
      </c>
      <c r="F13" s="9">
        <f>COUNTIFS(Pruebas!$B$2:$B$219,A13,Pruebas!$H$2:$H$219,"Pendiente")</f>
        <v/>
      </c>
      <c r="G13" s="10">
        <f>IF(B13=0,"",1-F13/B13)</f>
        <v/>
      </c>
    </row>
    <row r="14">
      <c r="A14" s="9" t="inlineStr">
        <is>
          <t>11. H · Modo compatible</t>
        </is>
      </c>
      <c r="B14" s="9">
        <f>COUNTIF(Pruebas!$B$2:$B$219,A14)</f>
        <v/>
      </c>
      <c r="C14" s="9">
        <f>COUNTIFS(Pruebas!$B$2:$B$219,A14,Pruebas!$H$2:$H$219,"OK")</f>
        <v/>
      </c>
      <c r="D14" s="9">
        <f>COUNTIFS(Pruebas!$B$2:$B$219,A14,Pruebas!$H$2:$H$219,"Falla")</f>
        <v/>
      </c>
      <c r="E14" s="9">
        <f>COUNTIFS(Pruebas!$B$2:$B$219,A14,Pruebas!$H$2:$H$219,"No aplica")</f>
        <v/>
      </c>
      <c r="F14" s="9">
        <f>COUNTIFS(Pruebas!$B$2:$B$219,A14,Pruebas!$H$2:$H$219,"Pendiente")</f>
        <v/>
      </c>
      <c r="G14" s="10">
        <f>IF(B14=0,"",1-F14/B14)</f>
        <v/>
      </c>
    </row>
    <row r="15">
      <c r="A15" s="9" t="inlineStr">
        <is>
          <t>11. T · Variables de texto (hoja «Zonas»)</t>
        </is>
      </c>
      <c r="B15" s="9">
        <f>COUNTIF(Pruebas!$B$2:$B$219,A15)</f>
        <v/>
      </c>
      <c r="C15" s="9">
        <f>COUNTIFS(Pruebas!$B$2:$B$219,A15,Pruebas!$H$2:$H$219,"OK")</f>
        <v/>
      </c>
      <c r="D15" s="9">
        <f>COUNTIFS(Pruebas!$B$2:$B$219,A15,Pruebas!$H$2:$H$219,"Falla")</f>
        <v/>
      </c>
      <c r="E15" s="9">
        <f>COUNTIFS(Pruebas!$B$2:$B$219,A15,Pruebas!$H$2:$H$219,"No aplica")</f>
        <v/>
      </c>
      <c r="F15" s="9">
        <f>COUNTIFS(Pruebas!$B$2:$B$219,A15,Pruebas!$H$2:$H$219,"Pendiente")</f>
        <v/>
      </c>
      <c r="G15" s="10">
        <f>IF(B15=0,"",1-F15/B15)</f>
        <v/>
      </c>
    </row>
    <row r="16">
      <c r="A16" s="9" t="inlineStr">
        <is>
          <t>12. J · Compartir el libro</t>
        </is>
      </c>
      <c r="B16" s="9">
        <f>COUNTIF(Pruebas!$B$2:$B$219,A16)</f>
        <v/>
      </c>
      <c r="C16" s="9">
        <f>COUNTIFS(Pruebas!$B$2:$B$219,A16,Pruebas!$H$2:$H$219,"OK")</f>
        <v/>
      </c>
      <c r="D16" s="9">
        <f>COUNTIFS(Pruebas!$B$2:$B$219,A16,Pruebas!$H$2:$H$219,"Falla")</f>
        <v/>
      </c>
      <c r="E16" s="9">
        <f>COUNTIFS(Pruebas!$B$2:$B$219,A16,Pruebas!$H$2:$H$219,"No aplica")</f>
        <v/>
      </c>
      <c r="F16" s="9">
        <f>COUNTIFS(Pruebas!$B$2:$B$219,A16,Pruebas!$H$2:$H$219,"Pendiente")</f>
        <v/>
      </c>
      <c r="G16" s="10">
        <f>IF(B16=0,"",1-F16/B16)</f>
        <v/>
      </c>
    </row>
    <row r="17">
      <c r="A17" s="9" t="inlineStr">
        <is>
          <t>13. Q5–Q26 · Riesgo del cronograma</t>
        </is>
      </c>
      <c r="B17" s="9">
        <f>COUNTIF(Pruebas!$B$2:$B$219,A17)</f>
        <v/>
      </c>
      <c r="C17" s="9">
        <f>COUNTIFS(Pruebas!$B$2:$B$219,A17,Pruebas!$H$2:$H$219,"OK")</f>
        <v/>
      </c>
      <c r="D17" s="9">
        <f>COUNTIFS(Pruebas!$B$2:$B$219,A17,Pruebas!$H$2:$H$219,"Falla")</f>
        <v/>
      </c>
      <c r="E17" s="9">
        <f>COUNTIFS(Pruebas!$B$2:$B$219,A17,Pruebas!$H$2:$H$219,"No aplica")</f>
        <v/>
      </c>
      <c r="F17" s="9">
        <f>COUNTIFS(Pruebas!$B$2:$B$219,A17,Pruebas!$H$2:$H$219,"Pendiente")</f>
        <v/>
      </c>
      <c r="G17" s="10">
        <f>IF(B17=0,"",1-F17/B17)</f>
        <v/>
      </c>
    </row>
    <row r="18">
      <c r="A18" s="9" t="inlineStr">
        <is>
          <t>14. GT1–GT18 · Gantt</t>
        </is>
      </c>
      <c r="B18" s="9">
        <f>COUNTIF(Pruebas!$B$2:$B$219,A18)</f>
        <v/>
      </c>
      <c r="C18" s="9">
        <f>COUNTIFS(Pruebas!$B$2:$B$219,A18,Pruebas!$H$2:$H$219,"OK")</f>
        <v/>
      </c>
      <c r="D18" s="9">
        <f>COUNTIFS(Pruebas!$B$2:$B$219,A18,Pruebas!$H$2:$H$219,"Falla")</f>
        <v/>
      </c>
      <c r="E18" s="9">
        <f>COUNTIFS(Pruebas!$B$2:$B$219,A18,Pruebas!$H$2:$H$219,"No aplica")</f>
        <v/>
      </c>
      <c r="F18" s="9">
        <f>COUNTIFS(Pruebas!$B$2:$B$219,A18,Pruebas!$H$2:$H$219,"Pendiente")</f>
        <v/>
      </c>
      <c r="G18" s="10">
        <f>IF(B18=0,"",1-F18/B18)</f>
        <v/>
      </c>
    </row>
    <row r="19">
      <c r="A19" s="9" t="inlineStr">
        <is>
          <t>15. GT19–GT30 · Gantt: avance, líneas base, exportar</t>
        </is>
      </c>
      <c r="B19" s="9">
        <f>COUNTIF(Pruebas!$B$2:$B$219,A19)</f>
        <v/>
      </c>
      <c r="C19" s="9">
        <f>COUNTIFS(Pruebas!$B$2:$B$219,A19,Pruebas!$H$2:$H$219,"OK")</f>
        <v/>
      </c>
      <c r="D19" s="9">
        <f>COUNTIFS(Pruebas!$B$2:$B$219,A19,Pruebas!$H$2:$H$219,"Falla")</f>
        <v/>
      </c>
      <c r="E19" s="9">
        <f>COUNTIFS(Pruebas!$B$2:$B$219,A19,Pruebas!$H$2:$H$219,"No aplica")</f>
        <v/>
      </c>
      <c r="F19" s="9">
        <f>COUNTIFS(Pruebas!$B$2:$B$219,A19,Pruebas!$H$2:$H$219,"Pendiente")</f>
        <v/>
      </c>
      <c r="G19" s="10">
        <f>IF(B19=0,"",1-F19/B19)</f>
        <v/>
      </c>
    </row>
    <row r="20">
      <c r="A20" s="9" t="inlineStr">
        <is>
          <t>16. GT31–GT40 · Arreglos, editores, resultados</t>
        </is>
      </c>
      <c r="B20" s="9">
        <f>COUNTIF(Pruebas!$B$2:$B$219,A20)</f>
        <v/>
      </c>
      <c r="C20" s="9">
        <f>COUNTIFS(Pruebas!$B$2:$B$219,A20,Pruebas!$H$2:$H$219,"OK")</f>
        <v/>
      </c>
      <c r="D20" s="9">
        <f>COUNTIFS(Pruebas!$B$2:$B$219,A20,Pruebas!$H$2:$H$219,"Falla")</f>
        <v/>
      </c>
      <c r="E20" s="9">
        <f>COUNTIFS(Pruebas!$B$2:$B$219,A20,Pruebas!$H$2:$H$219,"No aplica")</f>
        <v/>
      </c>
      <c r="F20" s="9">
        <f>COUNTIFS(Pruebas!$B$2:$B$219,A20,Pruebas!$H$2:$H$219,"Pendiente")</f>
        <v/>
      </c>
      <c r="G20" s="10">
        <f>IF(B20=0,"",1-F20/B20)</f>
        <v/>
      </c>
    </row>
    <row r="21">
      <c r="A21" s="9" t="inlineStr">
        <is>
          <t>17. GT41–GT55 · Lo traído al unir las ramas</t>
        </is>
      </c>
      <c r="B21" s="9">
        <f>COUNTIF(Pruebas!$B$2:$B$219,A21)</f>
        <v/>
      </c>
      <c r="C21" s="9">
        <f>COUNTIFS(Pruebas!$B$2:$B$219,A21,Pruebas!$H$2:$H$219,"OK")</f>
        <v/>
      </c>
      <c r="D21" s="9">
        <f>COUNTIFS(Pruebas!$B$2:$B$219,A21,Pruebas!$H$2:$H$219,"Falla")</f>
        <v/>
      </c>
      <c r="E21" s="9">
        <f>COUNTIFS(Pruebas!$B$2:$B$219,A21,Pruebas!$H$2:$H$219,"No aplica")</f>
        <v/>
      </c>
      <c r="F21" s="9">
        <f>COUNTIFS(Pruebas!$B$2:$B$219,A21,Pruebas!$H$2:$H$219,"Pendiente")</f>
        <v/>
      </c>
      <c r="G21" s="10">
        <f>IF(B21=0,"",1-F21/B21)</f>
        <v/>
      </c>
    </row>
    <row r="22">
      <c r="A22" s="9" t="inlineStr">
        <is>
          <t>18. I · Libros de fidelidad</t>
        </is>
      </c>
      <c r="B22" s="9">
        <f>COUNTIF(Pruebas!$B$2:$B$219,A22)</f>
        <v/>
      </c>
      <c r="C22" s="9">
        <f>COUNTIFS(Pruebas!$B$2:$B$219,A22,Pruebas!$H$2:$H$219,"OK")</f>
        <v/>
      </c>
      <c r="D22" s="9">
        <f>COUNTIFS(Pruebas!$B$2:$B$219,A22,Pruebas!$H$2:$H$219,"Falla")</f>
        <v/>
      </c>
      <c r="E22" s="9">
        <f>COUNTIFS(Pruebas!$B$2:$B$219,A22,Pruebas!$H$2:$H$219,"No aplica")</f>
        <v/>
      </c>
      <c r="F22" s="9">
        <f>COUNTIFS(Pruebas!$B$2:$B$219,A22,Pruebas!$H$2:$H$219,"Pendiente")</f>
        <v/>
      </c>
      <c r="G22" s="10">
        <f>IF(B22=0,"",1-F22/B22)</f>
        <v/>
      </c>
    </row>
    <row r="23">
      <c r="A23" s="9" t="inlineStr">
        <is>
          <t>19. W · Excel para la Web (opcional)</t>
        </is>
      </c>
      <c r="B23" s="9">
        <f>COUNTIF(Pruebas!$B$2:$B$219,A23)</f>
        <v/>
      </c>
      <c r="C23" s="9">
        <f>COUNTIFS(Pruebas!$B$2:$B$219,A23,Pruebas!$H$2:$H$219,"OK")</f>
        <v/>
      </c>
      <c r="D23" s="9">
        <f>COUNTIFS(Pruebas!$B$2:$B$219,A23,Pruebas!$H$2:$H$219,"Falla")</f>
        <v/>
      </c>
      <c r="E23" s="9">
        <f>COUNTIFS(Pruebas!$B$2:$B$219,A23,Pruebas!$H$2:$H$219,"No aplica")</f>
        <v/>
      </c>
      <c r="F23" s="9">
        <f>COUNTIFS(Pruebas!$B$2:$B$219,A23,Pruebas!$H$2:$H$219,"Pendiente")</f>
        <v/>
      </c>
      <c r="G23" s="10">
        <f>IF(B23=0,"",1-F23/B23)</f>
        <v/>
      </c>
    </row>
    <row r="24">
      <c r="A24" s="9" t="inlineStr">
        <is>
          <t>20. Q1–Q4 · ProjectLibre (opcional, sin Excel)</t>
        </is>
      </c>
      <c r="B24" s="9">
        <f>COUNTIF(Pruebas!$B$2:$B$219,A24)</f>
        <v/>
      </c>
      <c r="C24" s="9">
        <f>COUNTIFS(Pruebas!$B$2:$B$219,A24,Pruebas!$H$2:$H$219,"OK")</f>
        <v/>
      </c>
      <c r="D24" s="9">
        <f>COUNTIFS(Pruebas!$B$2:$B$219,A24,Pruebas!$H$2:$H$219,"Falla")</f>
        <v/>
      </c>
      <c r="E24" s="9">
        <f>COUNTIFS(Pruebas!$B$2:$B$219,A24,Pruebas!$H$2:$H$219,"No aplica")</f>
        <v/>
      </c>
      <c r="F24" s="9">
        <f>COUNTIFS(Pruebas!$B$2:$B$219,A24,Pruebas!$H$2:$H$219,"Pendiente")</f>
        <v/>
      </c>
      <c r="G24" s="10">
        <f>IF(B24=0,"",1-F24/B24)</f>
        <v/>
      </c>
    </row>
    <row r="25">
      <c r="A25" s="11" t="inlineStr">
        <is>
          <t>Total</t>
        </is>
      </c>
      <c r="B25" s="11">
        <f>SUM(B2:B24)</f>
        <v/>
      </c>
      <c r="C25" s="11">
        <f>SUM(C2:C24)</f>
        <v/>
      </c>
      <c r="D25" s="11">
        <f>SUM(D2:D24)</f>
        <v/>
      </c>
      <c r="E25" s="11">
        <f>SUM(E2:E24)</f>
        <v/>
      </c>
      <c r="F25" s="11">
        <f>SUM(F2:F24)</f>
        <v/>
      </c>
      <c r="G25" s="12">
        <f>IF(B25=0,"",1-F25/B25)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2026-10-09T12:49:23Z</dcterms:created>
  <dcterms:modified xmlns:dcterms="http://purl.org/dc/terms/" xmlns:xsi="http://www.w3.org/2001/XMLSchema-instance" xsi:type="dcterms:W3CDTF">2026-10-09T12:49:24Z</dcterms:modified>
</cp:coreProperties>
</file>