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delid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52" customWidth="1" min="3" max="3"/>
    <col width="52" customWidth="1" min="4" max="4"/>
    <col width="20" customWidth="1" min="5" max="5"/>
    <col width="44" customWidth="1" min="6" max="6"/>
  </cols>
  <sheetData>
    <row r="1">
      <c r="A1" s="1" t="inlineStr">
        <is>
          <t>id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formula (texto)</t>
        </is>
      </c>
      <c r="E1" s="1" t="inlineStr">
        <is>
          <t>resultado de Excel</t>
        </is>
      </c>
      <c r="F1" s="1" t="inlineStr">
        <is>
          <t>notas</t>
        </is>
      </c>
      <c r="H1" s="1" t="inlineStr">
        <is>
          <t>auxiliares</t>
        </is>
      </c>
    </row>
    <row r="2">
      <c r="A2" t="inlineStr">
        <is>
          <t>T8-001</t>
        </is>
      </c>
      <c r="B2" t="inlineStr">
        <is>
          <t>rangos</t>
        </is>
      </c>
      <c r="C2" t="inlineStr">
        <is>
          <t>SUMA de un producto de rangos</t>
        </is>
      </c>
      <c r="D2" t="inlineStr">
        <is>
          <t>SUM(H2:H5*I2:I5)</t>
        </is>
      </c>
      <c r="E2">
        <f t="array" ref="E2">SUM(H2:H5*I2:I5)</f>
        <v/>
      </c>
      <c r="F2" t="inlineStr">
        <is>
          <t>motor: 300</t>
        </is>
      </c>
      <c r="H2" t="n">
        <v>1</v>
      </c>
      <c r="I2" t="n">
        <v>10</v>
      </c>
      <c r="J2" t="inlineStr">
        <is>
          <t>rojo</t>
        </is>
      </c>
    </row>
    <row r="3">
      <c r="A3" t="inlineStr">
        <is>
          <t>T8-002</t>
        </is>
      </c>
      <c r="B3" t="inlineStr">
        <is>
          <t>rangos</t>
        </is>
      </c>
      <c r="C3" t="inlineStr">
        <is>
          <t>SUMAPRODUCTO con condición</t>
        </is>
      </c>
      <c r="D3" t="inlineStr">
        <is>
          <t>SUMPRODUCT((H2:H5&gt;2)*I2:I5)</t>
        </is>
      </c>
      <c r="E3">
        <f t="array" ref="E3">SUMPRODUCT((H2:H5&gt;2)*I2:I5)</f>
        <v/>
      </c>
      <c r="F3" t="inlineStr">
        <is>
          <t>motor: 70</t>
        </is>
      </c>
      <c r="H3" t="n">
        <v>2</v>
      </c>
      <c r="I3" t="n">
        <v>20</v>
      </c>
      <c r="J3" t="inlineStr">
        <is>
          <t>azul</t>
        </is>
      </c>
    </row>
    <row r="4">
      <c r="A4" t="inlineStr">
        <is>
          <t>T8-003</t>
        </is>
      </c>
      <c r="B4" t="inlineStr">
        <is>
          <t>rangos</t>
        </is>
      </c>
      <c r="C4" t="inlineStr">
        <is>
          <t>SUMA(SI(…)) clásica</t>
        </is>
      </c>
      <c r="D4" t="inlineStr">
        <is>
          <t>SUM(IF(H2:H5&gt;2,I2:I5))</t>
        </is>
      </c>
      <c r="E4">
        <f t="array" ref="E4">SUM(IF(H2:H5&gt;2,I2:I5))</f>
        <v/>
      </c>
      <c r="F4" t="inlineStr">
        <is>
          <t>motor: 70</t>
        </is>
      </c>
      <c r="H4" t="n">
        <v>3</v>
      </c>
      <c r="I4" t="n">
        <v>30</v>
      </c>
      <c r="J4" t="inlineStr">
        <is>
          <t>Rojo</t>
        </is>
      </c>
    </row>
    <row r="5">
      <c r="A5" t="inlineStr">
        <is>
          <t>T8-004</t>
        </is>
      </c>
      <c r="B5" t="inlineStr">
        <is>
          <t>rangos</t>
        </is>
      </c>
      <c r="C5" t="inlineStr">
        <is>
          <t>MAX(SI(…))</t>
        </is>
      </c>
      <c r="D5" t="inlineStr">
        <is>
          <t>MAX(IF(H2:H5&lt;3,I2:I5))</t>
        </is>
      </c>
      <c r="E5">
        <f t="array" ref="E5">MAX(IF(H2:H5&lt;3,I2:I5))</f>
        <v/>
      </c>
      <c r="F5" t="inlineStr">
        <is>
          <t>motor: 20</t>
        </is>
      </c>
      <c r="H5" t="n">
        <v>4</v>
      </c>
      <c r="I5" t="n">
        <v>40</v>
      </c>
      <c r="J5" t="inlineStr">
        <is>
          <t>verde</t>
        </is>
      </c>
    </row>
    <row r="6">
      <c r="A6" t="inlineStr">
        <is>
          <t>T8-005</t>
        </is>
      </c>
      <c r="B6" t="inlineStr">
        <is>
          <t>rangos</t>
        </is>
      </c>
      <c r="C6" t="inlineStr">
        <is>
          <t>Rango entre un escalar</t>
        </is>
      </c>
      <c r="D6" t="inlineStr">
        <is>
          <t>SUM(I2:I5/10)</t>
        </is>
      </c>
      <c r="E6">
        <f t="array" ref="E6">SUM(I2:I5/10)</f>
        <v/>
      </c>
      <c r="F6" t="inlineStr">
        <is>
          <t>motor: 10</t>
        </is>
      </c>
      <c r="J6" t="inlineStr">
        <is>
          <t>azul</t>
        </is>
      </c>
    </row>
    <row r="7">
      <c r="A7" t="inlineStr">
        <is>
          <t>T8-006</t>
        </is>
      </c>
      <c r="B7" t="inlineStr">
        <is>
          <t>rangos</t>
        </is>
      </c>
      <c r="C7" t="inlineStr">
        <is>
          <t>Constante matricial por 2</t>
        </is>
      </c>
      <c r="D7" t="inlineStr">
        <is>
          <t>SUM({1,2,3}*2)</t>
        </is>
      </c>
      <c r="E7">
        <f t="array" ref="E7">SUM({1,2,3}*2)</f>
        <v/>
      </c>
      <c r="F7" t="inlineStr">
        <is>
          <t>motor: 12</t>
        </is>
      </c>
    </row>
    <row r="8">
      <c r="A8" t="inlineStr">
        <is>
          <t>T8-007</t>
        </is>
      </c>
      <c r="B8" t="inlineStr">
        <is>
          <t>rangos</t>
        </is>
      </c>
      <c r="C8" t="inlineStr">
        <is>
          <t>Fila por columna (difusión)</t>
        </is>
      </c>
      <c r="D8" t="inlineStr">
        <is>
          <t>SUM({1,2}*{10;20})</t>
        </is>
      </c>
      <c r="E8">
        <f t="array" ref="E8">SUM({1,2}*{10;20})</f>
        <v/>
      </c>
      <c r="F8" t="inlineStr">
        <is>
          <t>A VERIFICAR. motor: 90</t>
        </is>
      </c>
    </row>
    <row r="9">
      <c r="A9" t="inlineStr">
        <is>
          <t>T8-008</t>
        </is>
      </c>
      <c r="B9" t="inlineStr">
        <is>
          <t>rangos</t>
        </is>
      </c>
      <c r="C9" t="inlineStr">
        <is>
          <t>Rangos de distinto largo</t>
        </is>
      </c>
      <c r="D9" t="inlineStr">
        <is>
          <t>SUM(H2:H5*{1;2})</t>
        </is>
      </c>
      <c r="E9">
        <f t="array" ref="E9">SUM(H2:H5*{1;2})</f>
        <v/>
      </c>
      <c r="F9" t="inlineStr">
        <is>
          <t>A VERIFICAR: #N/A en las que sobran. motor: #N/A</t>
        </is>
      </c>
    </row>
    <row r="10">
      <c r="A10" t="inlineStr">
        <is>
          <t>T8-009</t>
        </is>
      </c>
      <c r="B10" t="inlineStr">
        <is>
          <t>rangos</t>
        </is>
      </c>
      <c r="C10" t="inlineStr">
        <is>
          <t>SI con texto dentro de CONTARA</t>
        </is>
      </c>
      <c r="D10" t="inlineStr">
        <is>
          <t>COUNTA(IF(J2:J6="azul",J2:J6,""))</t>
        </is>
      </c>
      <c r="E10">
        <f t="array" ref="E10">COUNTA(IF(J2:J6="azul",J2:J6,""))</f>
        <v/>
      </c>
      <c r="F10" t="inlineStr">
        <is>
          <t>A VERIFICAR. motor: 5</t>
        </is>
      </c>
    </row>
    <row r="11">
      <c r="A11" t="inlineStr">
        <is>
          <t>T8-010</t>
        </is>
      </c>
      <c r="B11" t="inlineStr">
        <is>
          <t>filtrar</t>
        </is>
      </c>
      <c r="C11" t="inlineStr">
        <is>
          <t>SUMA de FILTRAR</t>
        </is>
      </c>
      <c r="D11" t="inlineStr">
        <is>
          <t>SUM(_xlws.FILTER(I2:I5,H2:H5&gt;2))</t>
        </is>
      </c>
      <c r="E11">
        <f t="array" ref="E11">SUM(_xlfn._xlws.FILTER(I2:I5,H2:H5&gt;2))</f>
        <v/>
      </c>
      <c r="F11" t="inlineStr">
        <is>
          <t>motor: 70</t>
        </is>
      </c>
    </row>
    <row r="12">
      <c r="A12" t="inlineStr">
        <is>
          <t>T8-011</t>
        </is>
      </c>
      <c r="B12" t="inlineStr">
        <is>
          <t>filtrar</t>
        </is>
      </c>
      <c r="C12" t="inlineStr">
        <is>
          <t>CONTARA de FILTRAR</t>
        </is>
      </c>
      <c r="D12" t="inlineStr">
        <is>
          <t>COUNTA(_xlws.FILTER(I2:I5,H2:H5&gt;1))</t>
        </is>
      </c>
      <c r="E12">
        <f t="array" ref="E12">COUNTA(_xlfn._xlws.FILTER(I2:I5,H2:H5&gt;1))</f>
        <v/>
      </c>
      <c r="F12" t="inlineStr">
        <is>
          <t>motor: 3</t>
        </is>
      </c>
    </row>
    <row r="13">
      <c r="A13" t="inlineStr">
        <is>
          <t>T8-012</t>
        </is>
      </c>
      <c r="B13" t="inlineStr">
        <is>
          <t>filtrar</t>
        </is>
      </c>
      <c r="C13" t="inlineStr">
        <is>
          <t>FILTRAR sin resultados</t>
        </is>
      </c>
      <c r="D13" t="inlineStr">
        <is>
          <t>SUM(_xlws.FILTER(I2:I5,H2:H5&gt;9))</t>
        </is>
      </c>
      <c r="E13">
        <f t="array" ref="E13">SUM(_xlfn._xlws.FILTER(I2:I5,H2:H5&gt;9))</f>
        <v/>
      </c>
      <c r="F13" t="inlineStr">
        <is>
          <t>A VERIFICAR: #CALC!. motor: #CALC!</t>
        </is>
      </c>
    </row>
    <row r="14">
      <c r="A14" t="inlineStr">
        <is>
          <t>T8-013</t>
        </is>
      </c>
      <c r="B14" t="inlineStr">
        <is>
          <t>filtrar</t>
        </is>
      </c>
      <c r="C14" t="inlineStr">
        <is>
          <t>FILTRAR sin resultados con si_vacío</t>
        </is>
      </c>
      <c r="D14" t="inlineStr">
        <is>
          <t>SUM(_xlws.FILTER(I2:I5,H2:H5&gt;9,0))</t>
        </is>
      </c>
      <c r="E14">
        <f t="array" ref="E14">SUM(_xlfn._xlws.FILTER(I2:I5,H2:H5&gt;9,0))</f>
        <v/>
      </c>
      <c r="F14" t="inlineStr">
        <is>
          <t>motor: 0</t>
        </is>
      </c>
    </row>
    <row r="15">
      <c r="A15" t="inlineStr">
        <is>
          <t>T8-014</t>
        </is>
      </c>
      <c r="B15" t="inlineStr">
        <is>
          <t>filtrar</t>
        </is>
      </c>
      <c r="C15" t="inlineStr">
        <is>
          <t>La primera fila que pasa</t>
        </is>
      </c>
      <c r="D15" t="inlineStr">
        <is>
          <t>INDEX(_xlws.FILTER(I2:I5,H2:H5&gt;2),1)</t>
        </is>
      </c>
      <c r="E15">
        <f t="array" ref="E15">INDEX(_xlfn._xlws.FILTER(I2:I5,H2:H5&gt;2),1)</f>
        <v/>
      </c>
      <c r="F15" t="inlineStr">
        <is>
          <t>motor: 30</t>
        </is>
      </c>
    </row>
    <row r="16">
      <c r="A16" t="inlineStr">
        <is>
          <t>T8-015</t>
        </is>
      </c>
      <c r="B16" t="inlineStr">
        <is>
          <t>filtrar</t>
        </is>
      </c>
      <c r="C16" t="inlineStr">
        <is>
          <t>Dos condiciones multiplicadas</t>
        </is>
      </c>
      <c r="D16" t="inlineStr">
        <is>
          <t>SUM(_xlws.FILTER(I2:I5,(H2:H5&gt;1)*(H2:H5&lt;4)))</t>
        </is>
      </c>
      <c r="E16">
        <f t="array" ref="E16">SUM(_xlfn._xlws.FILTER(I2:I5,(H2:H5&gt;1)*(H2:H5&lt;4)))</f>
        <v/>
      </c>
      <c r="F16" t="inlineStr">
        <is>
          <t>motor: 50</t>
        </is>
      </c>
    </row>
    <row r="17">
      <c r="A17" t="inlineStr">
        <is>
          <t>T8-016</t>
        </is>
      </c>
      <c r="B17" t="inlineStr">
        <is>
          <t>ordenar</t>
        </is>
      </c>
      <c r="C17" t="inlineStr">
        <is>
          <t>El mayor con ORDENAR descendente</t>
        </is>
      </c>
      <c r="D17" t="inlineStr">
        <is>
          <t>INDEX(_xlws.SORT(I2:I5,1,-1),1)</t>
        </is>
      </c>
      <c r="E17">
        <f t="array" ref="E17">INDEX(_xlfn._xlws.SORT(I2:I5,1,-1),1)</f>
        <v/>
      </c>
      <c r="F17" t="inlineStr">
        <is>
          <t>motor: 40</t>
        </is>
      </c>
    </row>
    <row r="18">
      <c r="A18" t="inlineStr">
        <is>
          <t>T8-017</t>
        </is>
      </c>
      <c r="B18" t="inlineStr">
        <is>
          <t>ordenar</t>
        </is>
      </c>
      <c r="C18" t="inlineStr">
        <is>
          <t>ORDENARPOR por otra columna</t>
        </is>
      </c>
      <c r="D18" t="inlineStr">
        <is>
          <t>INDEX(_xlws.SORTBY(I2:I5,H2:H5,-1),2)</t>
        </is>
      </c>
      <c r="E18">
        <f t="array" ref="E18">INDEX(_xlfn._xlws.SORTBY(I2:I5,H2:H5,-1),2)</f>
        <v/>
      </c>
      <c r="F18" t="inlineStr">
        <is>
          <t>motor: 30</t>
        </is>
      </c>
    </row>
    <row r="19">
      <c r="A19" t="inlineStr">
        <is>
          <t>T8-018</t>
        </is>
      </c>
      <c r="B19" t="inlineStr">
        <is>
          <t>ordenar</t>
        </is>
      </c>
      <c r="C19" t="inlineStr">
        <is>
          <t>ORDENAR texto</t>
        </is>
      </c>
      <c r="D19" t="inlineStr">
        <is>
          <t>INDEX(_xlws.SORT(J2:J6),1)</t>
        </is>
      </c>
      <c r="E19">
        <f t="array" ref="E19">INDEX(_xlfn._xlws.SORT(J2:J6),1)</f>
        <v/>
      </c>
      <c r="F19" t="inlineStr">
        <is>
          <t>A VERIFICAR. motor: "azul"</t>
        </is>
      </c>
    </row>
    <row r="20">
      <c r="A20" t="inlineStr">
        <is>
          <t>T8-019</t>
        </is>
      </c>
      <c r="B20" t="inlineStr">
        <is>
          <t>unicos</t>
        </is>
      </c>
      <c r="C20" t="inlineStr">
        <is>
          <t>UNICOS sin distinguir mayúsculas</t>
        </is>
      </c>
      <c r="D20" t="inlineStr">
        <is>
          <t>COUNTA(UNIQUE(J2:J6))</t>
        </is>
      </c>
      <c r="E20">
        <f t="array" ref="E20">COUNTA(_xlfn.UNIQUE(J2:J6))</f>
        <v/>
      </c>
      <c r="F20" t="inlineStr">
        <is>
          <t>A VERIFICAR. motor: 3</t>
        </is>
      </c>
    </row>
    <row r="21">
      <c r="A21" t="inlineStr">
        <is>
          <t>T8-020</t>
        </is>
      </c>
      <c r="B21" t="inlineStr">
        <is>
          <t>unicos</t>
        </is>
      </c>
      <c r="C21" t="inlineStr">
        <is>
          <t>UNICOS exactamente una vez</t>
        </is>
      </c>
      <c r="D21" t="inlineStr">
        <is>
          <t>COUNTA(UNIQUE(J2:J6,FALSE,TRUE))</t>
        </is>
      </c>
      <c r="E21">
        <f t="array" ref="E21">COUNTA(_xlfn.UNIQUE(J2:J6,FALSE,TRUE))</f>
        <v/>
      </c>
      <c r="F21" t="inlineStr">
        <is>
          <t>A VERIFICAR. motor: 1</t>
        </is>
      </c>
    </row>
    <row r="22">
      <c r="A22" t="inlineStr">
        <is>
          <t>T8-021</t>
        </is>
      </c>
      <c r="B22" t="inlineStr">
        <is>
          <t>secuencia</t>
        </is>
      </c>
      <c r="C22" t="inlineStr">
        <is>
          <t>SUMA de SECUENCIA(10)</t>
        </is>
      </c>
      <c r="D22" t="inlineStr">
        <is>
          <t>SUM(SEQUENCE(10))</t>
        </is>
      </c>
      <c r="E22">
        <f t="array" ref="E22">SUM(_xlfn.SEQUENCE(10))</f>
        <v/>
      </c>
      <c r="F22" t="inlineStr">
        <is>
          <t>motor: 55</t>
        </is>
      </c>
    </row>
    <row r="23">
      <c r="A23" t="inlineStr">
        <is>
          <t>T8-022</t>
        </is>
      </c>
      <c r="B23" t="inlineStr">
        <is>
          <t>secuencia</t>
        </is>
      </c>
      <c r="C23" t="inlineStr">
        <is>
          <t>SECUENCIA con inicio y paso</t>
        </is>
      </c>
      <c r="D23" t="inlineStr">
        <is>
          <t>SUM(SEQUENCE(2,3,0,2))</t>
        </is>
      </c>
      <c r="E23">
        <f t="array" ref="E23">SUM(_xlfn.SEQUENCE(2,3,0,2))</f>
        <v/>
      </c>
      <c r="F23" t="inlineStr">
        <is>
          <t>motor: 30</t>
        </is>
      </c>
    </row>
    <row r="24">
      <c r="A24" t="inlineStr">
        <is>
          <t>T8-023</t>
        </is>
      </c>
      <c r="B24" t="inlineStr">
        <is>
          <t>transponer</t>
        </is>
      </c>
      <c r="C24" t="inlineStr">
        <is>
          <t>TRANSPONER una columna</t>
        </is>
      </c>
      <c r="D24" t="inlineStr">
        <is>
          <t>INDEX(TRANSPOSE(H2:H5),1,2)</t>
        </is>
      </c>
      <c r="E24">
        <f t="array" ref="E24">INDEX(TRANSPOSE(H2:H5),1,2)</f>
        <v/>
      </c>
      <c r="F24" t="inlineStr">
        <is>
          <t>motor: 2</t>
        </is>
      </c>
    </row>
    <row r="25">
      <c r="A25" t="inlineStr">
        <is>
          <t>T8-024</t>
        </is>
      </c>
      <c r="B25" t="inlineStr">
        <is>
          <t>mmult</t>
        </is>
      </c>
      <c r="C25" t="inlineStr">
        <is>
          <t>MMULT</t>
        </is>
      </c>
      <c r="D25" t="inlineStr">
        <is>
          <t>SUM(MMULT({1,2;3,4},{1;1}))</t>
        </is>
      </c>
      <c r="E25">
        <f t="array" ref="E25">SUM(MMULT({1,2;3,4},{1;1}))</f>
        <v/>
      </c>
      <c r="F25" t="inlineStr">
        <is>
          <t>motor: 10</t>
        </is>
      </c>
    </row>
    <row r="26">
      <c r="A26" t="inlineStr">
        <is>
          <t>T8-025</t>
        </is>
      </c>
      <c r="B26" t="inlineStr">
        <is>
          <t>minversa</t>
        </is>
      </c>
      <c r="C26" t="inlineStr">
        <is>
          <t>MINVERSA</t>
        </is>
      </c>
      <c r="D26" t="inlineStr">
        <is>
          <t>INDEX(MINVERSE({2,0;0,4}),2,2)</t>
        </is>
      </c>
      <c r="E26">
        <f t="array" ref="E26">INDEX(MINVERSE({2,0;0,4}),2,2)</f>
        <v/>
      </c>
      <c r="F26" t="inlineStr">
        <is>
          <t>motor: 0,25</t>
        </is>
      </c>
    </row>
    <row r="27">
      <c r="A27" t="inlineStr">
        <is>
          <t>T8-026</t>
        </is>
      </c>
      <c r="B27" t="inlineStr">
        <is>
          <t>minversa</t>
        </is>
      </c>
      <c r="C27" t="inlineStr">
        <is>
          <t>MINVERSA de una singular</t>
        </is>
      </c>
      <c r="D27" t="inlineStr">
        <is>
          <t>SUM(MINVERSE({1,2;2,4}))</t>
        </is>
      </c>
      <c r="E27">
        <f t="array" ref="E27">SUM(MINVERSE({1,2;2,4}))</f>
        <v/>
      </c>
      <c r="F27" t="inlineStr">
        <is>
          <t>motor: #NUM!</t>
        </is>
      </c>
    </row>
    <row r="28">
      <c r="A28" t="inlineStr">
        <is>
          <t>T8-027</t>
        </is>
      </c>
      <c r="B28" t="inlineStr">
        <is>
          <t>mezcla</t>
        </is>
      </c>
      <c r="C28" t="inlineStr">
        <is>
          <t>SUMA de ORDENAR de FILTRAR</t>
        </is>
      </c>
      <c r="D28" t="inlineStr">
        <is>
          <t>INDEX(_xlws.SORT(_xlws.FILTER(I2:I5,H2:H5&gt;1),1,-1),1)</t>
        </is>
      </c>
      <c r="E28">
        <f t="array" ref="E28">INDEX(_xlfn._xlws.SORT(_xlfn._xlws.FILTER(I2:I5,H2:H5&gt;1),1,-1),1)</f>
        <v/>
      </c>
      <c r="F28" t="inlineStr">
        <is>
          <t>motor: 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2026-09-24T15:33:26Z</dcterms:created>
  <dcterms:modified xsi:type="dcterms:W3CDTF">2026-09-24T15:33:26Z</dcterms:modified>
</cp:coreProperties>
</file>