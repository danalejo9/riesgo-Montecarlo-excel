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al\Documents\Proyectos Claude\riesgo-montecarlo-v2\tests\fixtures\"/>
    </mc:Choice>
  </mc:AlternateContent>
  <xr:revisionPtr revIDLastSave="0" documentId="11_4F61DFA650125086891B70D3525ED87656CD98E0" xr6:coauthVersionLast="47" xr6:coauthVersionMax="47" xr10:uidLastSave="{00000000-0000-0000-0000-000000000000}"/>
  <bookViews>
    <workbookView xWindow="-6225" yWindow="-18360" windowWidth="27690" windowHeight="18360" xr2:uid="{00000000-000D-0000-FFFF-FFFF00000000}"/>
  </bookViews>
  <sheets>
    <sheet name="Fidelid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 a="1"/>
  <c r="E28" i="1"/>
  <c r="E27" i="1" a="1"/>
  <c r="E27" i="1"/>
  <c r="E26" i="1" a="1"/>
  <c r="E26" i="1"/>
  <c r="E25" i="1" a="1"/>
  <c r="E25" i="1"/>
  <c r="E24" i="1" a="1"/>
  <c r="E24" i="1"/>
  <c r="E23" i="1" a="1"/>
  <c r="E23" i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/>
  <c r="E14" i="1" a="1"/>
  <c r="E14" i="1"/>
  <c r="E13" i="1" a="1"/>
  <c r="E13" i="1"/>
  <c r="E12" i="1" a="1"/>
  <c r="E12" i="1"/>
  <c r="E11" i="1" a="1"/>
  <c r="E11" i="1"/>
  <c r="E10" i="1" a="1"/>
  <c r="E10" i="1" s="1"/>
  <c r="E9" i="1" a="1"/>
  <c r="E9" i="1"/>
  <c r="E8" i="1" a="1"/>
  <c r="E8" i="1"/>
  <c r="E7" i="1" a="1"/>
  <c r="E7" i="1"/>
  <c r="E6" i="1" a="1"/>
  <c r="E6" i="1"/>
  <c r="E5" i="1" a="1"/>
  <c r="E5" i="1" s="1"/>
  <c r="E4" i="1" a="1"/>
  <c r="E4" i="1" s="1"/>
  <c r="E3" i="1" a="1"/>
  <c r="E3" i="1" s="1"/>
  <c r="E2" i="1" a="1"/>
  <c r="E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<sst xmlns="http://schemas.openxmlformats.org/spreadsheetml/2006/main" count="147" uniqueCount="122">
  <si>
    <t>id</t>
  </si>
  <si>
    <t>categoria</t>
  </si>
  <si>
    <t>descripcion</t>
  </si>
  <si>
    <t>formula (texto)</t>
  </si>
  <si>
    <t>resultado de Excel</t>
  </si>
  <si>
    <t>notas</t>
  </si>
  <si>
    <t>auxiliares</t>
  </si>
  <si>
    <t>T8-001</t>
  </si>
  <si>
    <t>rangos</t>
  </si>
  <si>
    <t>SUMA de un producto de rangos</t>
  </si>
  <si>
    <t>SUM(H2:H5*I2:I5)</t>
  </si>
  <si>
    <t>motor: 300</t>
  </si>
  <si>
    <t>rojo</t>
  </si>
  <si>
    <t>T8-002</t>
  </si>
  <si>
    <t>SUMAPRODUCTO con condición</t>
  </si>
  <si>
    <t>SUMPRODUCT((H2:H5&gt;2)*I2:I5)</t>
  </si>
  <si>
    <t>motor: 70</t>
  </si>
  <si>
    <t>azul</t>
  </si>
  <si>
    <t>T8-003</t>
  </si>
  <si>
    <t>SUMA(SI(…)) clásica</t>
  </si>
  <si>
    <t>SUM(IF(H2:H5&gt;2,I2:I5))</t>
  </si>
  <si>
    <t>Rojo</t>
  </si>
  <si>
    <t>T8-004</t>
  </si>
  <si>
    <t>MAX(SI(…))</t>
  </si>
  <si>
    <t>MAX(IF(H2:H5&lt;3,I2:I5))</t>
  </si>
  <si>
    <t>motor: 20</t>
  </si>
  <si>
    <t>verde</t>
  </si>
  <si>
    <t>T8-005</t>
  </si>
  <si>
    <t>Rango entre un escalar</t>
  </si>
  <si>
    <t>SUM(I2:I5/10)</t>
  </si>
  <si>
    <t>motor: 10</t>
  </si>
  <si>
    <t>T8-006</t>
  </si>
  <si>
    <t>Constante matricial por 2</t>
  </si>
  <si>
    <t>SUM({1,2,3}*2)</t>
  </si>
  <si>
    <t>motor: 12</t>
  </si>
  <si>
    <t>T8-007</t>
  </si>
  <si>
    <t>Fila por columna (difusión)</t>
  </si>
  <si>
    <t>SUM({1,2}*{10;20})</t>
  </si>
  <si>
    <t>A VERIFICAR. motor: 90</t>
  </si>
  <si>
    <t>T8-008</t>
  </si>
  <si>
    <t>Rangos de distinto largo</t>
  </si>
  <si>
    <t>SUM(H2:H5*{1;2})</t>
  </si>
  <si>
    <t>A VERIFICAR: #N/A en las que sobran. motor: #N/A</t>
  </si>
  <si>
    <t>T8-009</t>
  </si>
  <si>
    <t>SI con texto dentro de CONTARA</t>
  </si>
  <si>
    <t>COUNTA(IF(J2:J6="azul",J2:J6,""))</t>
  </si>
  <si>
    <t>A VERIFICAR. motor: 5</t>
  </si>
  <si>
    <t>T8-010</t>
  </si>
  <si>
    <t>filtrar</t>
  </si>
  <si>
    <t>SUMA de FILTRAR</t>
  </si>
  <si>
    <t>SUM(_xlws.FILTER(I2:I5,H2:H5&gt;2))</t>
  </si>
  <si>
    <t>T8-011</t>
  </si>
  <si>
    <t>CONTARA de FILTRAR</t>
  </si>
  <si>
    <t>COUNTA(_xlws.FILTER(I2:I5,H2:H5&gt;1))</t>
  </si>
  <si>
    <t>motor: 3</t>
  </si>
  <si>
    <t>T8-012</t>
  </si>
  <si>
    <t>FILTRAR sin resultados</t>
  </si>
  <si>
    <t>SUM(_xlws.FILTER(I2:I5,H2:H5&gt;9))</t>
  </si>
  <si>
    <t>A VERIFICAR: #CALC!. motor: #CALC!</t>
  </si>
  <si>
    <t>T8-013</t>
  </si>
  <si>
    <t>FILTRAR sin resultados con si_vacío</t>
  </si>
  <si>
    <t>SUM(_xlws.FILTER(I2:I5,H2:H5&gt;9,0))</t>
  </si>
  <si>
    <t>motor: 0</t>
  </si>
  <si>
    <t>T8-014</t>
  </si>
  <si>
    <t>La primera fila que pasa</t>
  </si>
  <si>
    <t>INDEX(_xlws.FILTER(I2:I5,H2:H5&gt;2),1)</t>
  </si>
  <si>
    <t>motor: 30</t>
  </si>
  <si>
    <t>T8-015</t>
  </si>
  <si>
    <t>Dos condiciones multiplicadas</t>
  </si>
  <si>
    <t>SUM(_xlws.FILTER(I2:I5,(H2:H5&gt;1)*(H2:H5&lt;4)))</t>
  </si>
  <si>
    <t>motor: 50</t>
  </si>
  <si>
    <t>T8-016</t>
  </si>
  <si>
    <t>ordenar</t>
  </si>
  <si>
    <t>El mayor con ORDENAR descendente</t>
  </si>
  <si>
    <t>INDEX(_xlws.SORT(I2:I5,1,-1),1)</t>
  </si>
  <si>
    <t>motor: 40</t>
  </si>
  <si>
    <t>T8-017</t>
  </si>
  <si>
    <t>ORDENARPOR por otra columna</t>
  </si>
  <si>
    <t>INDEX(_xlws.SORTBY(I2:I5,H2:H5,-1),2)</t>
  </si>
  <si>
    <t>T8-018</t>
  </si>
  <si>
    <t>ORDENAR texto</t>
  </si>
  <si>
    <t>INDEX(_xlws.SORT(J2:J6),1)</t>
  </si>
  <si>
    <t>A VERIFICAR. motor: "azul"</t>
  </si>
  <si>
    <t>T8-019</t>
  </si>
  <si>
    <t>unicos</t>
  </si>
  <si>
    <t>UNICOS sin distinguir mayúsculas</t>
  </si>
  <si>
    <t>COUNTA(UNIQUE(J2:J6))</t>
  </si>
  <si>
    <t>A VERIFICAR. motor: 3</t>
  </si>
  <si>
    <t>T8-020</t>
  </si>
  <si>
    <t>UNICOS exactamente una vez</t>
  </si>
  <si>
    <t>COUNTA(UNIQUE(J2:J6,FALSE,TRUE))</t>
  </si>
  <si>
    <t>A VERIFICAR. motor: 1</t>
  </si>
  <si>
    <t>T8-021</t>
  </si>
  <si>
    <t>secuencia</t>
  </si>
  <si>
    <t>SUMA de SECUENCIA(10)</t>
  </si>
  <si>
    <t>SUM(SEQUENCE(10))</t>
  </si>
  <si>
    <t>motor: 55</t>
  </si>
  <si>
    <t>T8-022</t>
  </si>
  <si>
    <t>SECUENCIA con inicio y paso</t>
  </si>
  <si>
    <t>SUM(SEQUENCE(2,3,0,2))</t>
  </si>
  <si>
    <t>T8-023</t>
  </si>
  <si>
    <t>transponer</t>
  </si>
  <si>
    <t>TRANSPONER una columna</t>
  </si>
  <si>
    <t>INDEX(TRANSPOSE(H2:H5),1,2)</t>
  </si>
  <si>
    <t>motor: 2</t>
  </si>
  <si>
    <t>T8-024</t>
  </si>
  <si>
    <t>mmult</t>
  </si>
  <si>
    <t>MMULT</t>
  </si>
  <si>
    <t>SUM(MMULT({1,2;3,4},{1;1}))</t>
  </si>
  <si>
    <t>T8-025</t>
  </si>
  <si>
    <t>minversa</t>
  </si>
  <si>
    <t>MINVERSA</t>
  </si>
  <si>
    <t>INDEX(MINVERSE({2,0;0,4}),2,2)</t>
  </si>
  <si>
    <t>motor: 0,25</t>
  </si>
  <si>
    <t>T8-026</t>
  </si>
  <si>
    <t>MINVERSA de una singular</t>
  </si>
  <si>
    <t>SUM(MINVERSE({1,2;2,4}))</t>
  </si>
  <si>
    <t>motor: #NUM!</t>
  </si>
  <si>
    <t>T8-027</t>
  </si>
  <si>
    <t>mezcla</t>
  </si>
  <si>
    <t>SUMA de ORDENAR de FILTRAR</t>
  </si>
  <si>
    <t>INDEX(_xlws.SORT(_xlws.FILTER(I2:I5,H2:H5&gt;1),1,-1),1)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</si>
</sst>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/>
  </sheetViews>
  <sheetFormatPr baseColWidth="10" defaultColWidth="8.88671875" defaultRowHeight="14.4" x14ac:dyDescent="0.3"/>
  <cols>
    <col min="1" max="1" width="9" customWidth="1"/>
    <col min="2" max="2" width="12" customWidth="1"/>
    <col min="3" max="4" width="52" customWidth="1"/>
    <col min="5" max="5" width="20" customWidth="1"/>
    <col min="6" max="6" width="4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spans="1:10" x14ac:dyDescent="0.3">
      <c r="A2" t="s">
        <v>7</v>
      </c>
      <c r="B2" t="s">
        <v>8</v>
      </c>
      <c r="C2" t="s">
        <v>9</v>
      </c>
      <c r="D2" t="s">
        <v>10</v>
      </c>
      <c r="E2">
        <f t="array" ref="E2">SUM(H2:H5*I2:I5)</f>
        <v>300</v>
      </c>
      <c r="F2" t="s">
        <v>11</v>
      </c>
      <c r="H2">
        <v>1</v>
      </c>
      <c r="I2">
        <v>10</v>
      </c>
      <c r="J2" t="s">
        <v>12</v>
      </c>
    </row>
    <row r="3" spans="1:10" x14ac:dyDescent="0.3">
      <c r="A3" t="s">
        <v>13</v>
      </c>
      <c r="B3" t="s">
        <v>8</v>
      </c>
      <c r="C3" t="s">
        <v>14</v>
      </c>
      <c r="D3" t="s">
        <v>15</v>
      </c>
      <c r="E3">
        <f t="array" ref="E3">SUMPRODUCT((H2:H5&gt;2)*I2:I5)</f>
        <v>70</v>
      </c>
      <c r="F3" t="s">
        <v>16</v>
      </c>
      <c r="H3">
        <v>2</v>
      </c>
      <c r="I3">
        <v>20</v>
      </c>
      <c r="J3" t="s">
        <v>17</v>
      </c>
    </row>
    <row r="4" spans="1:10" x14ac:dyDescent="0.3">
      <c r="A4" t="s">
        <v>18</v>
      </c>
      <c r="B4" t="s">
        <v>8</v>
      </c>
      <c r="C4" t="s">
        <v>19</v>
      </c>
      <c r="D4" t="s">
        <v>20</v>
      </c>
      <c r="E4">
        <f t="array" ref="E4">SUM(IF(H2:H5&gt;2,I2:I5))</f>
        <v>70</v>
      </c>
      <c r="F4" t="s">
        <v>16</v>
      </c>
      <c r="H4">
        <v>3</v>
      </c>
      <c r="I4">
        <v>30</v>
      </c>
      <c r="J4" t="s">
        <v>21</v>
      </c>
    </row>
    <row r="5" spans="1:10" x14ac:dyDescent="0.3">
      <c r="A5" t="s">
        <v>22</v>
      </c>
      <c r="B5" t="s">
        <v>8</v>
      </c>
      <c r="C5" t="s">
        <v>23</v>
      </c>
      <c r="D5" t="s">
        <v>24</v>
      </c>
      <c r="E5">
        <f t="array" ref="E5">MAX(IF(H2:H5&lt;3,I2:I5))</f>
        <v>20</v>
      </c>
      <c r="F5" t="s">
        <v>25</v>
      </c>
      <c r="H5">
        <v>4</v>
      </c>
      <c r="I5">
        <v>40</v>
      </c>
      <c r="J5" t="s">
        <v>26</v>
      </c>
    </row>
    <row r="6" spans="1:10" x14ac:dyDescent="0.3">
      <c r="A6" t="s">
        <v>27</v>
      </c>
      <c r="B6" t="s">
        <v>8</v>
      </c>
      <c r="C6" t="s">
        <v>28</v>
      </c>
      <c r="D6" t="s">
        <v>29</v>
      </c>
      <c r="E6">
        <f t="array" ref="E6">SUM(I2:I5/10)</f>
        <v>10</v>
      </c>
      <c r="F6" t="s">
        <v>30</v>
      </c>
      <c r="J6" t="s">
        <v>17</v>
      </c>
    </row>
    <row r="7" spans="1:10" x14ac:dyDescent="0.3">
      <c r="A7" t="s">
        <v>31</v>
      </c>
      <c r="B7" t="s">
        <v>8</v>
      </c>
      <c r="C7" t="s">
        <v>32</v>
      </c>
      <c r="D7" t="s">
        <v>33</v>
      </c>
      <c r="E7">
        <f t="array" ref="E7">SUM({1,2,3}*2)</f>
        <v>12</v>
      </c>
      <c r="F7" t="s">
        <v>34</v>
      </c>
    </row>
    <row r="8" spans="1:10" x14ac:dyDescent="0.3">
      <c r="A8" t="s">
        <v>35</v>
      </c>
      <c r="B8" t="s">
        <v>8</v>
      </c>
      <c r="C8" t="s">
        <v>36</v>
      </c>
      <c r="D8" t="s">
        <v>37</v>
      </c>
      <c r="E8">
        <f t="array" ref="E8">SUM({1,2}*{10;20})</f>
        <v>90</v>
      </c>
      <c r="F8" t="s">
        <v>38</v>
      </c>
    </row>
    <row r="9" spans="1:10" x14ac:dyDescent="0.3">
      <c r="A9" t="s">
        <v>39</v>
      </c>
      <c r="B9" t="s">
        <v>8</v>
      </c>
      <c r="C9" t="s">
        <v>40</v>
      </c>
      <c r="D9" t="s">
        <v>41</v>
      </c>
      <c r="E9" t="e">
        <f t="array" ref="E9">SUM(H2:H5*{1;2})</f>
        <v>#N/A</v>
      </c>
      <c r="F9" t="s">
        <v>42</v>
      </c>
    </row>
    <row r="10" spans="1:10" x14ac:dyDescent="0.3">
      <c r="A10" t="s">
        <v>43</v>
      </c>
      <c r="B10" t="s">
        <v>8</v>
      </c>
      <c r="C10" t="s">
        <v>44</v>
      </c>
      <c r="D10" t="s">
        <v>45</v>
      </c>
      <c r="E10">
        <f t="array" ref="E10">COUNTA(IF(J2:J6="azul",J2:J6,""))</f>
        <v>5</v>
      </c>
      <c r="F10" t="s">
        <v>46</v>
      </c>
    </row>
    <row r="11" spans="1:10" x14ac:dyDescent="0.3">
      <c r="A11" t="s">
        <v>47</v>
      </c>
      <c r="B11" t="s">
        <v>48</v>
      </c>
      <c r="C11" t="s">
        <v>49</v>
      </c>
      <c r="D11" t="s">
        <v>50</v>
      </c>
      <c r="E11">
        <f t="array" ref="E11">SUM(_xlfn._xlws.FILTER(I2:I5,H2:H5&gt;2))</f>
        <v>70</v>
      </c>
      <c r="F11" t="s">
        <v>16</v>
      </c>
    </row>
    <row r="12" spans="1:10" x14ac:dyDescent="0.3">
      <c r="A12" t="s">
        <v>51</v>
      </c>
      <c r="B12" t="s">
        <v>48</v>
      </c>
      <c r="C12" t="s">
        <v>52</v>
      </c>
      <c r="D12" t="s">
        <v>53</v>
      </c>
      <c r="E12">
        <f t="array" ref="E12">COUNTA(_xlfn._xlws.FILTER(I2:I5,H2:H5&gt;1))</f>
        <v>3</v>
      </c>
      <c r="F12" t="s">
        <v>54</v>
      </c>
    </row>
    <row r="13" spans="1:10" x14ac:dyDescent="0.3">
      <c r="A13" t="s">
        <v>55</v>
      </c>
      <c r="B13" t="s">
        <v>48</v>
      </c>
      <c r="C13" t="s">
        <v>56</v>
      </c>
      <c r="D13" t="s">
        <v>57</v>
      </c>
      <c r="E13" t="e" vm="1">
        <f t="array" ref="E13">SUM(_xlfn._xlws.FILTER(I2:I5,H2:H5&gt;9))</f>
        <v>#VALUE!</v>
      </c>
      <c r="F13" t="s">
        <v>58</v>
      </c>
    </row>
    <row r="14" spans="1:10" x14ac:dyDescent="0.3">
      <c r="A14" t="s">
        <v>59</v>
      </c>
      <c r="B14" t="s">
        <v>48</v>
      </c>
      <c r="C14" t="s">
        <v>60</v>
      </c>
      <c r="D14" t="s">
        <v>61</v>
      </c>
      <c r="E14">
        <f t="array" ref="E14">SUM(_xlfn._xlws.FILTER(I2:I5,H2:H5&gt;9,0))</f>
        <v>0</v>
      </c>
      <c r="F14" t="s">
        <v>62</v>
      </c>
    </row>
    <row r="15" spans="1:10" x14ac:dyDescent="0.3">
      <c r="A15" t="s">
        <v>63</v>
      </c>
      <c r="B15" t="s">
        <v>48</v>
      </c>
      <c r="C15" t="s">
        <v>64</v>
      </c>
      <c r="D15" t="s">
        <v>65</v>
      </c>
      <c r="E15">
        <f t="array" ref="E15">INDEX(_xlfn._xlws.FILTER(I2:I5,H2:H5&gt;2),1)</f>
        <v>30</v>
      </c>
      <c r="F15" t="s">
        <v>66</v>
      </c>
    </row>
    <row r="16" spans="1:10" x14ac:dyDescent="0.3">
      <c r="A16" t="s">
        <v>67</v>
      </c>
      <c r="B16" t="s">
        <v>48</v>
      </c>
      <c r="C16" t="s">
        <v>68</v>
      </c>
      <c r="D16" t="s">
        <v>69</v>
      </c>
      <c r="E16">
        <f t="array" ref="E16">SUM(_xlfn._xlws.FILTER(I2:I5,(H2:H5&gt;1)*(H2:H5&lt;4)))</f>
        <v>50</v>
      </c>
      <c r="F16" t="s">
        <v>70</v>
      </c>
    </row>
    <row r="17" spans="1:6" x14ac:dyDescent="0.3">
      <c r="A17" t="s">
        <v>71</v>
      </c>
      <c r="B17" t="s">
        <v>72</v>
      </c>
      <c r="C17" t="s">
        <v>73</v>
      </c>
      <c r="D17" t="s">
        <v>74</v>
      </c>
      <c r="E17">
        <f t="array" ref="E17">INDEX(_xlfn._xlws.SORT(I2:I5,1,-1),1)</f>
        <v>40</v>
      </c>
      <c r="F17" t="s">
        <v>75</v>
      </c>
    </row>
    <row r="18" spans="1:6" x14ac:dyDescent="0.3">
      <c r="A18" t="s">
        <v>76</v>
      </c>
      <c r="B18" t="s">
        <v>72</v>
      </c>
      <c r="C18" t="s">
        <v>77</v>
      </c>
      <c r="D18" t="s">
        <v>78</v>
      </c>
      <c r="E18">
        <f t="array" ref="E18">INDEX(_xlfn.SORTBY(I2:I5,H2:H5,-1),2)</f>
        <v>30</v>
      </c>
      <c r="F18" t="s">
        <v>66</v>
      </c>
    </row>
    <row r="19" spans="1:6" x14ac:dyDescent="0.3">
      <c r="A19" t="s">
        <v>79</v>
      </c>
      <c r="B19" t="s">
        <v>72</v>
      </c>
      <c r="C19" t="s">
        <v>80</v>
      </c>
      <c r="D19" t="s">
        <v>81</v>
      </c>
      <c r="E19" t="str">
        <f t="array" ref="E19">INDEX(_xlfn._xlws.SORT(J2:J6),1)</f>
        <v>azul</v>
      </c>
      <c r="F19" t="s">
        <v>82</v>
      </c>
    </row>
    <row r="20" spans="1:6" x14ac:dyDescent="0.3">
      <c r="A20" t="s">
        <v>83</v>
      </c>
      <c r="B20" t="s">
        <v>84</v>
      </c>
      <c r="C20" t="s">
        <v>85</v>
      </c>
      <c r="D20" t="s">
        <v>86</v>
      </c>
      <c r="E20">
        <f t="array" ref="E20">COUNTA(_xlfn.UNIQUE(J2:J6))</f>
        <v>3</v>
      </c>
      <c r="F20" t="s">
        <v>87</v>
      </c>
    </row>
    <row r="21" spans="1:6" x14ac:dyDescent="0.3">
      <c r="A21" t="s">
        <v>88</v>
      </c>
      <c r="B21" t="s">
        <v>84</v>
      </c>
      <c r="C21" t="s">
        <v>89</v>
      </c>
      <c r="D21" t="s">
        <v>90</v>
      </c>
      <c r="E21">
        <f t="array" ref="E21">COUNTA(_xlfn.UNIQUE(J2:J6,FALSE,TRUE))</f>
        <v>1</v>
      </c>
      <c r="F21" t="s">
        <v>91</v>
      </c>
    </row>
    <row r="22" spans="1:6" x14ac:dyDescent="0.3">
      <c r="A22" t="s">
        <v>92</v>
      </c>
      <c r="B22" t="s">
        <v>93</v>
      </c>
      <c r="C22" t="s">
        <v>94</v>
      </c>
      <c r="D22" t="s">
        <v>95</v>
      </c>
      <c r="E22">
        <f t="array" ref="E22">SUM(_xlfn.SEQUENCE(10))</f>
        <v>55</v>
      </c>
      <c r="F22" t="s">
        <v>96</v>
      </c>
    </row>
    <row r="23" spans="1:6" x14ac:dyDescent="0.3">
      <c r="A23" t="s">
        <v>97</v>
      </c>
      <c r="B23" t="s">
        <v>93</v>
      </c>
      <c r="C23" t="s">
        <v>98</v>
      </c>
      <c r="D23" t="s">
        <v>99</v>
      </c>
      <c r="E23">
        <f t="array" ref="E23">SUM(_xlfn.SEQUENCE(2,3,0,2))</f>
        <v>30</v>
      </c>
      <c r="F23" t="s">
        <v>66</v>
      </c>
    </row>
    <row r="24" spans="1:6" x14ac:dyDescent="0.3">
      <c r="A24" t="s">
        <v>100</v>
      </c>
      <c r="B24" t="s">
        <v>101</v>
      </c>
      <c r="C24" t="s">
        <v>102</v>
      </c>
      <c r="D24" t="s">
        <v>103</v>
      </c>
      <c r="E24">
        <f t="array" ref="E24">INDEX(TRANSPOSE(H2:H5),1,2)</f>
        <v>2</v>
      </c>
      <c r="F24" t="s">
        <v>104</v>
      </c>
    </row>
    <row r="25" spans="1:6" x14ac:dyDescent="0.3">
      <c r="A25" t="s">
        <v>105</v>
      </c>
      <c r="B25" t="s">
        <v>106</v>
      </c>
      <c r="C25" t="s">
        <v>107</v>
      </c>
      <c r="D25" t="s">
        <v>108</v>
      </c>
      <c r="E25">
        <f t="array" ref="E25">SUM(MMULT({1,2;3,4},{1;1}))</f>
        <v>10</v>
      </c>
      <c r="F25" t="s">
        <v>30</v>
      </c>
    </row>
    <row r="26" spans="1:6" x14ac:dyDescent="0.3">
      <c r="A26" t="s">
        <v>109</v>
      </c>
      <c r="B26" t="s">
        <v>110</v>
      </c>
      <c r="C26" t="s">
        <v>111</v>
      </c>
      <c r="D26" t="s">
        <v>112</v>
      </c>
      <c r="E26">
        <f t="array" ref="E26">INDEX(MINVERSE({2,0;0,4}),2,2)</f>
        <v>0.25</v>
      </c>
      <c r="F26" t="s">
        <v>113</v>
      </c>
    </row>
    <row r="27" spans="1:6" x14ac:dyDescent="0.3">
      <c r="A27" t="s">
        <v>114</v>
      </c>
      <c r="B27" t="s">
        <v>110</v>
      </c>
      <c r="C27" t="s">
        <v>115</v>
      </c>
      <c r="D27" t="s">
        <v>116</v>
      </c>
      <c r="E27" t="e">
        <f t="array" ref="E27">SUM(MINVERSE({1,2;2,4}))</f>
        <v>#NUM!</v>
      </c>
      <c r="F27" t="s">
        <v>117</v>
      </c>
    </row>
    <row r="28" spans="1:6" x14ac:dyDescent="0.3">
      <c r="A28" t="s">
        <v>118</v>
      </c>
      <c r="B28" t="s">
        <v>119</v>
      </c>
      <c r="C28" t="s">
        <v>120</v>
      </c>
      <c r="D28" t="s">
        <v>121</v>
      </c>
      <c r="E28">
        <f t="array" ref="E28">INDEX(_xlfn._xlws.SORT(_xlfn._xlws.FILTER(I2:I5,H2:H5&gt;1),1,-1),1)</f>
        <v>40</v>
      </c>
      <c r="F28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Fidelidad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Alejandro Jaimes Gonzalez</cp:lastModifiedBy>
  <dcterms:created xsi:type="dcterms:W3CDTF">2026-09-24T15:33:26Z</dcterms:created>
  <dcterms:modified xsi:type="dcterms:W3CDTF">2026-09-27T22:02:50Z</dcterms:modified>
</cp:coreProperties>
</file>