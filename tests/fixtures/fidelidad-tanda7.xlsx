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anal\Documents\Proyectos Claude\riesgo-montecarlo-v2\tests\fixtures\"/>
    </mc:Choice>
  </mc:AlternateContent>
  <xr:revisionPtr revIDLastSave="0" documentId="11_2B59FEAF50D256B1B51A78D352F2D8F5556FE511" xr6:coauthVersionLast="47" xr6:coauthVersionMax="47" xr10:uidLastSave="{00000000-0000-0000-0000-000000000000}"/>
  <bookViews>
    <workbookView xWindow="-6705" yWindow="-18360" windowWidth="27690" windowHeight="18360" xr2:uid="{00000000-000D-0000-FFFF-FFFF00000000}"/>
  </bookViews>
  <sheets>
    <sheet name="Fidelida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<sst xmlns="http://schemas.openxmlformats.org/spreadsheetml/2006/main" count="78" uniqueCount="64">
  <si>
    <t>id</t>
  </si>
  <si>
    <t>categoria</t>
  </si>
  <si>
    <t>descripcion</t>
  </si>
  <si>
    <t>formula (texto)</t>
  </si>
  <si>
    <t>resultado de Excel</t>
  </si>
  <si>
    <t>notas</t>
  </si>
  <si>
    <t>auxiliares</t>
  </si>
  <si>
    <t>T7-001</t>
  </si>
  <si>
    <t>let</t>
  </si>
  <si>
    <t>El ejemplo de Microsoft</t>
  </si>
  <si>
    <t>LET(_xlpm.x,5,SUM(_xlpm.x,1))</t>
  </si>
  <si>
    <t>6 (Microsoft). motor: 6</t>
  </si>
  <si>
    <t>T7-002</t>
  </si>
  <si>
    <t>Un nombre usa el anterior</t>
  </si>
  <si>
    <t>LET(_xlpm.a,H2*2,_xlpm.b,_xlpm.a+1,_xlpm.a*_xlpm.b)</t>
  </si>
  <si>
    <t>motor: 42</t>
  </si>
  <si>
    <t>T7-003</t>
  </si>
  <si>
    <t>LET anidado redefine el nombre dentro</t>
  </si>
  <si>
    <t>LET(_xlpm.x,1,LET(_xlpm.x,10,_xlpm.x)+_xlpm.x)</t>
  </si>
  <si>
    <t>motor: 11</t>
  </si>
  <si>
    <t>abc</t>
  </si>
  <si>
    <t>T7-004</t>
  </si>
  <si>
    <t>Mayúsculas distintas, mismo nombre</t>
  </si>
  <si>
    <t>LET(_xlpm.tasa,H5,_xlpm.tasa*100)</t>
  </si>
  <si>
    <t>motor: 10</t>
  </si>
  <si>
    <t>T7-005</t>
  </si>
  <si>
    <t>Un nombre con texto</t>
  </si>
  <si>
    <t>LET(_xlpm.s,H4,UPPER(_xlpm.s)&amp;LEN(_xlpm.s))</t>
  </si>
  <si>
    <t>motor: "ABC3"</t>
  </si>
  <si>
    <t>T7-006</t>
  </si>
  <si>
    <t>Un error dentro de un nombre se propaga</t>
  </si>
  <si>
    <t>LET(_xlpm.d,1/0,_xlpm.d+1)</t>
  </si>
  <si>
    <t>motor: #DIV/0!</t>
  </si>
  <si>
    <t>T7-007</t>
  </si>
  <si>
    <t>El error de un nombre no usado no cuenta</t>
  </si>
  <si>
    <t>LET(_xlpm.d,1/0,_xlpm.k,2,_xlpm.k*3)</t>
  </si>
  <si>
    <t>A VERIFICAR. motor: 6</t>
  </si>
  <si>
    <t>T7-008</t>
  </si>
  <si>
    <t>SI.ERROR sobre un nombre</t>
  </si>
  <si>
    <t>LET(_xlpm.d,H2/0,IFERROR(_xlpm.d,-1))</t>
  </si>
  <si>
    <t>motor: -1</t>
  </si>
  <si>
    <t>T7-009</t>
  </si>
  <si>
    <t>Nombre usado dentro de una función de criterio</t>
  </si>
  <si>
    <t>LET(_xlpm.u,3,COUNTIF(H2:H3,"&gt;="&amp;_xlpm.u))</t>
  </si>
  <si>
    <t>motor: 2</t>
  </si>
  <si>
    <t>T7-010</t>
  </si>
  <si>
    <t>Nombre que vale un rango</t>
  </si>
  <si>
    <t>LET(_xlpm.r,H2:H3,SUM(_xlpm.r)*2)</t>
  </si>
  <si>
    <t>motor: 14</t>
  </si>
  <si>
    <t>T7-011</t>
  </si>
  <si>
    <t>Dentro de un SI</t>
  </si>
  <si>
    <t>LET(_xlpm.m,H3-H2,IF(_xlpm.m&gt;0,"sube","baja"))</t>
  </si>
  <si>
    <t>motor: "sube"</t>
  </si>
  <si>
    <t>T7-012</t>
  </si>
  <si>
    <t>Varios usos del mismo nombre</t>
  </si>
  <si>
    <t>LET(_xlpm.v,H2+H3,_xlpm.v*_xlpm.v-_xlpm.v)</t>
  </si>
  <si>
    <t>T7-013</t>
  </si>
  <si>
    <t>Con un VNA dentro</t>
  </si>
  <si>
    <t>LET(_xlpm.i,H5,NPV(_xlpm.i,100,100,100))</t>
  </si>
  <si>
    <t>motor: 248,685199098</t>
  </si>
  <si>
    <t>T7-014</t>
  </si>
  <si>
    <t>Tres niveles de nombres</t>
  </si>
  <si>
    <t>LET(_xlpm.a,1,_xlpm.b,_xlpm.a+1,_xlpm.c,_xlpm.b+1,_xlpm.a+_xlpm.b+_xlpm.c)</t>
  </si>
  <si>
    <t>motor: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</si>
</sst>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/>
  </sheetViews>
  <sheetFormatPr baseColWidth="10" defaultColWidth="8.88671875" defaultRowHeight="14.4" x14ac:dyDescent="0.3"/>
  <cols>
    <col min="1" max="1" width="9" customWidth="1"/>
    <col min="2" max="2" width="12" customWidth="1"/>
    <col min="3" max="4" width="52" customWidth="1"/>
    <col min="5" max="5" width="20" customWidth="1"/>
    <col min="6" max="6" width="44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1" t="s">
        <v>6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E2">
        <f>_xlfn.LET(_xlpm.x,5,SUM(_xlpm.x,1))</f>
        <v>6</v>
      </c>
      <c r="F2" t="s">
        <v>11</v>
      </c>
      <c r="H2">
        <v>3</v>
      </c>
    </row>
    <row r="3" spans="1:8" x14ac:dyDescent="0.3">
      <c r="A3" t="s">
        <v>12</v>
      </c>
      <c r="B3" t="s">
        <v>8</v>
      </c>
      <c r="C3" t="s">
        <v>13</v>
      </c>
      <c r="D3" t="s">
        <v>14</v>
      </c>
      <c r="E3">
        <f>_xlfn.LET(_xlpm.a,H2*2,_xlpm.b,_xlpm.a+1,_xlpm.a*_xlpm.b)</f>
        <v>42</v>
      </c>
      <c r="F3" t="s">
        <v>15</v>
      </c>
      <c r="H3">
        <v>4</v>
      </c>
    </row>
    <row r="4" spans="1:8" x14ac:dyDescent="0.3">
      <c r="A4" t="s">
        <v>16</v>
      </c>
      <c r="B4" t="s">
        <v>8</v>
      </c>
      <c r="C4" t="s">
        <v>17</v>
      </c>
      <c r="D4" t="s">
        <v>18</v>
      </c>
      <c r="E4">
        <f>_xlfn.LET(_xlpm.x,1,_xlfn.LET(_xlpm.x,10,_xlpm.x)+_xlpm.x)</f>
        <v>11</v>
      </c>
      <c r="F4" t="s">
        <v>19</v>
      </c>
      <c r="H4" t="s">
        <v>20</v>
      </c>
    </row>
    <row r="5" spans="1:8" x14ac:dyDescent="0.3">
      <c r="A5" t="s">
        <v>21</v>
      </c>
      <c r="B5" t="s">
        <v>8</v>
      </c>
      <c r="C5" t="s">
        <v>22</v>
      </c>
      <c r="D5" t="s">
        <v>23</v>
      </c>
      <c r="E5">
        <f>_xlfn.LET(_xlpm.tasa,H5,_xlpm.tasa*100)</f>
        <v>10</v>
      </c>
      <c r="F5" t="s">
        <v>24</v>
      </c>
      <c r="H5">
        <v>0.1</v>
      </c>
    </row>
    <row r="6" spans="1:8" x14ac:dyDescent="0.3">
      <c r="A6" t="s">
        <v>25</v>
      </c>
      <c r="B6" t="s">
        <v>8</v>
      </c>
      <c r="C6" t="s">
        <v>26</v>
      </c>
      <c r="D6" t="s">
        <v>27</v>
      </c>
      <c r="E6" t="str">
        <f>_xlfn.LET(_xlpm.s,H4,UPPER(_xlpm.s)&amp;LEN(_xlpm.s))</f>
        <v>ABC3</v>
      </c>
      <c r="F6" t="s">
        <v>28</v>
      </c>
    </row>
    <row r="7" spans="1:8" x14ac:dyDescent="0.3">
      <c r="A7" t="s">
        <v>29</v>
      </c>
      <c r="B7" t="s">
        <v>8</v>
      </c>
      <c r="C7" t="s">
        <v>30</v>
      </c>
      <c r="D7" t="s">
        <v>31</v>
      </c>
      <c r="E7" t="e">
        <f>_xlfn.LET(_xlpm.d,1/0,_xlpm.d+1)</f>
        <v>#DIV/0!</v>
      </c>
      <c r="F7" t="s">
        <v>32</v>
      </c>
    </row>
    <row r="8" spans="1:8" x14ac:dyDescent="0.3">
      <c r="A8" t="s">
        <v>33</v>
      </c>
      <c r="B8" t="s">
        <v>8</v>
      </c>
      <c r="C8" t="s">
        <v>34</v>
      </c>
      <c r="D8" t="s">
        <v>35</v>
      </c>
      <c r="E8">
        <f>_xlfn.LET(_xlpm.d,1/0,_xlpm.k,2,_xlpm.k*3)</f>
        <v>6</v>
      </c>
      <c r="F8" t="s">
        <v>36</v>
      </c>
    </row>
    <row r="9" spans="1:8" x14ac:dyDescent="0.3">
      <c r="A9" t="s">
        <v>37</v>
      </c>
      <c r="B9" t="s">
        <v>8</v>
      </c>
      <c r="C9" t="s">
        <v>38</v>
      </c>
      <c r="D9" t="s">
        <v>39</v>
      </c>
      <c r="E9">
        <f>_xlfn.LET(_xlpm.d,H2/0,IFERROR(_xlpm.d,-1))</f>
        <v>-1</v>
      </c>
      <c r="F9" t="s">
        <v>40</v>
      </c>
    </row>
    <row r="10" spans="1:8" x14ac:dyDescent="0.3">
      <c r="A10" t="s">
        <v>41</v>
      </c>
      <c r="B10" t="s">
        <v>8</v>
      </c>
      <c r="C10" t="s">
        <v>42</v>
      </c>
      <c r="D10" t="s">
        <v>43</v>
      </c>
      <c r="E10">
        <f>_xlfn.LET(_xlpm.u,3,COUNTIF(H2:H3,"&gt;="&amp;_xlpm.u))</f>
        <v>2</v>
      </c>
      <c r="F10" t="s">
        <v>44</v>
      </c>
    </row>
    <row r="11" spans="1:8" x14ac:dyDescent="0.3">
      <c r="A11" t="s">
        <v>45</v>
      </c>
      <c r="B11" t="s">
        <v>8</v>
      </c>
      <c r="C11" t="s">
        <v>46</v>
      </c>
      <c r="D11" t="s">
        <v>47</v>
      </c>
      <c r="E11">
        <f>_xlfn.LET(_xlpm.r,H2:H3,SUM(_xlpm.r)*2)</f>
        <v>14</v>
      </c>
      <c r="F11" t="s">
        <v>48</v>
      </c>
    </row>
    <row r="12" spans="1:8" x14ac:dyDescent="0.3">
      <c r="A12" t="s">
        <v>49</v>
      </c>
      <c r="B12" t="s">
        <v>8</v>
      </c>
      <c r="C12" t="s">
        <v>50</v>
      </c>
      <c r="D12" t="s">
        <v>51</v>
      </c>
      <c r="E12" t="str">
        <f>_xlfn.LET(_xlpm.m,H3-H2,IF(_xlpm.m&gt;0,"sube","baja"))</f>
        <v>sube</v>
      </c>
      <c r="F12" t="s">
        <v>52</v>
      </c>
    </row>
    <row r="13" spans="1:8" x14ac:dyDescent="0.3">
      <c r="A13" t="s">
        <v>53</v>
      </c>
      <c r="B13" t="s">
        <v>8</v>
      </c>
      <c r="C13" t="s">
        <v>54</v>
      </c>
      <c r="D13" t="s">
        <v>55</v>
      </c>
      <c r="E13">
        <f>_xlfn.LET(_xlpm.v,H2+H3,_xlpm.v*_xlpm.v-_xlpm.v)</f>
        <v>42</v>
      </c>
      <c r="F13" t="s">
        <v>15</v>
      </c>
    </row>
    <row r="14" spans="1:8" x14ac:dyDescent="0.3">
      <c r="A14" t="s">
        <v>56</v>
      </c>
      <c r="B14" t="s">
        <v>8</v>
      </c>
      <c r="C14" t="s">
        <v>57</v>
      </c>
      <c r="D14" t="s">
        <v>58</v>
      </c>
      <c r="E14">
        <f>_xlfn.LET(_xlpm.i,H5,NPV(_xlpm.i,100,100,100))</f>
        <v>248.68519909842223</v>
      </c>
      <c r="F14" t="s">
        <v>59</v>
      </c>
    </row>
    <row r="15" spans="1:8" x14ac:dyDescent="0.3">
      <c r="A15" t="s">
        <v>60</v>
      </c>
      <c r="B15" t="s">
        <v>8</v>
      </c>
      <c r="C15" t="s">
        <v>61</v>
      </c>
      <c r="D15" t="s">
        <v>62</v>
      </c>
      <c r="E15">
        <f>_xlfn.LET(_xlpm.a,1,_xlpm.b,_xlpm.a+1,_xlpm.c,_xlpm.b+1,_xlpm.a+_xlpm.b+_xlpm.c)</f>
        <v>6</v>
      </c>
      <c r="F15" t="s">
        <v>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Fidelidad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Alejandro Jaimes Gonzalez</cp:lastModifiedBy>
  <dcterms:created xsi:type="dcterms:W3CDTF">2026-09-24T04:27:17Z</dcterms:created>
  <dcterms:modified xsi:type="dcterms:W3CDTF">2026-09-27T22:02:41Z</dcterms:modified>
</cp:coreProperties>
</file>