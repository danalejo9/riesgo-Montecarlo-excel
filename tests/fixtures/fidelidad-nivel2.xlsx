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nal\Downloads\"/>
    </mc:Choice>
  </mc:AlternateContent>
  <xr:revisionPtr revIDLastSave="0" documentId="13_ncr:1_{AF493D80-14CD-43AE-A8D5-C3A945AEA229}" xr6:coauthVersionLast="47" xr6:coauthVersionMax="47" xr10:uidLastSave="{00000000-0000-0000-0000-000000000000}"/>
  <bookViews>
    <workbookView xWindow="15630" yWindow="-21600" windowWidth="26010" windowHeight="20985" xr2:uid="{00000000-000D-0000-FFFF-FFFF00000000}"/>
  </bookViews>
  <sheets>
    <sheet name="Fidelid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7" i="1" l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<sst xmlns="http://schemas.openxmlformats.org/spreadsheetml/2006/main" count="450" uniqueCount="350">
  <si>
    <t>id</t>
  </si>
  <si>
    <t>categoria</t>
  </si>
  <si>
    <t>descripcion</t>
  </si>
  <si>
    <t>formula (texto)</t>
  </si>
  <si>
    <t>resultado de Excel</t>
  </si>
  <si>
    <t>notas</t>
  </si>
  <si>
    <t>flujo</t>
  </si>
  <si>
    <t>fecha</t>
  </si>
  <si>
    <t>flujo raro</t>
  </si>
  <si>
    <t>desde</t>
  </si>
  <si>
    <t>letra</t>
  </si>
  <si>
    <t>tarifa</t>
  </si>
  <si>
    <t>desde (desordenada)</t>
  </si>
  <si>
    <t>con hueco</t>
  </si>
  <si>
    <t>N2-001</t>
  </si>
  <si>
    <t>tir</t>
  </si>
  <si>
    <t>TIR de un flujo normal</t>
  </si>
  <si>
    <t>IRR(H2:H7)</t>
  </si>
  <si>
    <t>A VERIFICAR. motor: 0,170721</t>
  </si>
  <si>
    <t>F</t>
  </si>
  <si>
    <t>N2-002</t>
  </si>
  <si>
    <t>TIR con estimación inicial alta</t>
  </si>
  <si>
    <t>IRR(H2:H7,0.5)</t>
  </si>
  <si>
    <t>A VERIFICAR. Debería dar lo mismo que N2-001: la estimación no cambia la raíz, solo el camino</t>
  </si>
  <si>
    <t>E</t>
  </si>
  <si>
    <t>N2-003</t>
  </si>
  <si>
    <t>TIR con estimación inicial negativa</t>
  </si>
  <si>
    <t>IRR(H2:H7,-0.5)</t>
  </si>
  <si>
    <t>A VERIFICAR</t>
  </si>
  <si>
    <t>D</t>
  </si>
  <si>
    <t>N2-004</t>
  </si>
  <si>
    <t>TIR de un flujo todo positivo: no hay raíz</t>
  </si>
  <si>
    <t>IRR(H3:H7)</t>
  </si>
  <si>
    <t>A VERIFICAR. motor: #¡NUM!</t>
  </si>
  <si>
    <t>C</t>
  </si>
  <si>
    <t>N2-005</t>
  </si>
  <si>
    <t>TIR de un flujo con dos cambios de signo: hay más de una raíz matemática</t>
  </si>
  <si>
    <t>IRR(J2:J5)</t>
  </si>
  <si>
    <t>A VERIFICAR. motor: 0 (el flujo suma cero, así que la tasa 0 es una raíz válida). Cuál devuelve Excel no está documentado</t>
  </si>
  <si>
    <t>B</t>
  </si>
  <si>
    <t>N2-006</t>
  </si>
  <si>
    <t>TIR del flujo raro con otra estimación: ¿cambia la raíz?</t>
  </si>
  <si>
    <t>IRR(J2:J5,0.8)</t>
  </si>
  <si>
    <t>A VERIFICAR. motor: 2,4142 — distinto de N2-005. Con dos raíces, la TIR depende de la estimación, y hay que imitar la de Excel</t>
  </si>
  <si>
    <t>N2-007</t>
  </si>
  <si>
    <t>van</t>
  </si>
  <si>
    <t>VNA descontando desde el periodo 1 y sumando la inversión aparte</t>
  </si>
  <si>
    <t>NPV(0.1,H3:H7)+H2</t>
  </si>
  <si>
    <t>motor: 1837,089. Es la forma correcta de calcular un VAN</t>
  </si>
  <si>
    <t>N2-008</t>
  </si>
  <si>
    <t>VNA metiendo el periodo 0 dentro: Excel lo descuenta un periodo</t>
  </si>
  <si>
    <t>NPV(0.1,H2:H7)</t>
  </si>
  <si>
    <t>A VERIFICAR. motor: el de N2-007 dividido por 1,1</t>
  </si>
  <si>
    <t>N2-009</t>
  </si>
  <si>
    <t>VNA con tasa 0: es la suma</t>
  </si>
  <si>
    <t>NPV(0,H2:H7)</t>
  </si>
  <si>
    <t>motor: 5500</t>
  </si>
  <si>
    <t>N2-010</t>
  </si>
  <si>
    <t>VNA con tasa negativa</t>
  </si>
  <si>
    <t>NPV(-0.05,H2:H7)</t>
  </si>
  <si>
    <t>N2-011</t>
  </si>
  <si>
    <t>VNA con un solo flujo</t>
  </si>
  <si>
    <t>NPV(0.1,100)</t>
  </si>
  <si>
    <t>motor: 90,9091</t>
  </si>
  <si>
    <t>N2-012</t>
  </si>
  <si>
    <t>VNA.NO.PER con fechas reales</t>
  </si>
  <si>
    <t>XNPV(0.1,H2:H7,I2:I7)</t>
  </si>
  <si>
    <t>A VERIFICAR. El motor usa 365 días por año; Excel también, pero conviene confirmarlo</t>
  </si>
  <si>
    <t>N2-013</t>
  </si>
  <si>
    <t>TIR.NO.PER con fechas reales</t>
  </si>
  <si>
    <t>XIRR(H2:H7,I2:I7)</t>
  </si>
  <si>
    <t>N2-014</t>
  </si>
  <si>
    <t>TIR.NO.PER con estimación inicial</t>
  </si>
  <si>
    <t>XIRR(H2:H7,I2:I7,0.2)</t>
  </si>
  <si>
    <t>A VERIFICAR. Debería coincidir con N2-013</t>
  </si>
  <si>
    <t>N2-015</t>
  </si>
  <si>
    <t>prestamo</t>
  </si>
  <si>
    <t>PAGO de una hipoteca a 30 años</t>
  </si>
  <si>
    <t>PMT(0.05/12,360,200000)</t>
  </si>
  <si>
    <t>motor: -1073,643 (negativo: es un pago)</t>
  </si>
  <si>
    <t>N2-016</t>
  </si>
  <si>
    <t>PAGO con pagos al principio del periodo (tipo 1)</t>
  </si>
  <si>
    <t>PMT(0.05/12,360,200000,0,1)</t>
  </si>
  <si>
    <t>A VERIFICAR. motor: el de N2-015 dividido por (1+i)</t>
  </si>
  <si>
    <t>N2-017</t>
  </si>
  <si>
    <t>PAGO con valor futuro distinto de cero</t>
  </si>
  <si>
    <t>PMT(0.05/12,360,200000,50000)</t>
  </si>
  <si>
    <t>N2-018</t>
  </si>
  <si>
    <t>PAGO con tasa cero: reparto lineal</t>
  </si>
  <si>
    <t>PMT(0,10,1000)</t>
  </si>
  <si>
    <t>motor: -100</t>
  </si>
  <si>
    <t>N2-019</t>
  </si>
  <si>
    <t>VA de una renta</t>
  </si>
  <si>
    <t>PV(0.05,10,-1000)</t>
  </si>
  <si>
    <t>motor: 7721,735</t>
  </si>
  <si>
    <t>N2-020</t>
  </si>
  <si>
    <t>VF de una renta</t>
  </si>
  <si>
    <t>FV(0.05,10,-1000)</t>
  </si>
  <si>
    <t>motor: 12577,893</t>
  </si>
  <si>
    <t>N2-021</t>
  </si>
  <si>
    <t>VF con pagos al principio (tipo 1)</t>
  </si>
  <si>
    <t>FV(0.05,10,-1000,0,1)</t>
  </si>
  <si>
    <t>A VERIFICAR. motor: el de N2-020 por (1+i)</t>
  </si>
  <si>
    <t>N2-022</t>
  </si>
  <si>
    <t>NPER: cuántos periodos hacen falta</t>
  </si>
  <si>
    <t>NPER(0.05,-1000,8000)</t>
  </si>
  <si>
    <t>A VERIFICAR. motor: 10,4698</t>
  </si>
  <si>
    <t>N2-023</t>
  </si>
  <si>
    <t>NPER con tasa cero</t>
  </si>
  <si>
    <t>NPER(0,-1000,8000)</t>
  </si>
  <si>
    <t>motor: 8</t>
  </si>
  <si>
    <t>N2-024</t>
  </si>
  <si>
    <t>TASA: la incógnita es el interés, y se resuelve iterando</t>
  </si>
  <si>
    <t>RATE(10,-1000,8000)</t>
  </si>
  <si>
    <t>A VERIFICAR. Excel se rinde a las 20 iteraciones; el motor es más tenaz</t>
  </si>
  <si>
    <t>N2-025</t>
  </si>
  <si>
    <t>TASA con estimación inicial</t>
  </si>
  <si>
    <t>RATE(10,-1000,8000,0,0,0.2)</t>
  </si>
  <si>
    <t>A VERIFICAR. ¿Cambia el resultado respecto a N2-024?</t>
  </si>
  <si>
    <t>N2-026</t>
  </si>
  <si>
    <t>TASA de un caso que no converge</t>
  </si>
  <si>
    <t>RATE(3,-100,1000)</t>
  </si>
  <si>
    <t>A VERIFICAR. motor: -0,4244. Se espera que Excel dé #¡NUM!: se rinde a las 20 iteraciones y el motor es más tenaz. Es la divergencia que hay que medir, no un fallo</t>
  </si>
  <si>
    <t>N2-027</t>
  </si>
  <si>
    <t>PAGOINT del primer periodo</t>
  </si>
  <si>
    <t>IPMT(0.05/12,1,360,200000)</t>
  </si>
  <si>
    <t>motor: -833,33 (el interés del primer mes)</t>
  </si>
  <si>
    <t>N2-028</t>
  </si>
  <si>
    <t>PAGOPRIN del primer periodo</t>
  </si>
  <si>
    <t>PPMT(0.05/12,1,360,200000)</t>
  </si>
  <si>
    <t>motor: -240,3099</t>
  </si>
  <si>
    <t>N2-029</t>
  </si>
  <si>
    <t>PAGOINT del último periodo</t>
  </si>
  <si>
    <t>IPMT(0.05/12,360,360,200000)</t>
  </si>
  <si>
    <t>N2-030</t>
  </si>
  <si>
    <t>PAGOINT con pagos al principio (tipo 1) — el convenio de signos</t>
  </si>
  <si>
    <t>IPMT(0.05/12,1,360,200000,0,1)</t>
  </si>
  <si>
    <t>A VERIFICAR. Con tipo 1 el primer periodo no devenga interés: Excel devuelve 0</t>
  </si>
  <si>
    <t>N2-031</t>
  </si>
  <si>
    <t>PAGOPRIN con pagos al principio (tipo 1)</t>
  </si>
  <si>
    <t>PPMT(0.05/12,1,360,200000,0,1)</t>
  </si>
  <si>
    <t>N2-032</t>
  </si>
  <si>
    <t>PAGOINT del segundo periodo con tipo 1</t>
  </si>
  <si>
    <t>IPMT(0.05/12,2,360,200000,0,1)</t>
  </si>
  <si>
    <t>N2-033</t>
  </si>
  <si>
    <t>La identidad que tiene que cumplirse: PAGOINT + PAGOPRIN = PAGO</t>
  </si>
  <si>
    <t>IPMT(0.05/12,7,360,200000)+PPMT(0.05/12,7,360,200000)-PMT(0.05/12,360,200000)</t>
  </si>
  <si>
    <t>motor: 0. Si Excel no da 0, uno de los tres está mal</t>
  </si>
  <si>
    <t>N2-034</t>
  </si>
  <si>
    <t>busqueda</t>
  </si>
  <si>
    <t>BUSCARV exacta que encuentra</t>
  </si>
  <si>
    <t>VLOOKUP(500,K2:M6,3,FALSE)</t>
  </si>
  <si>
    <t>motor: 0,1</t>
  </si>
  <si>
    <t>N2-035</t>
  </si>
  <si>
    <t>BUSCARV exacta que no encuentra</t>
  </si>
  <si>
    <t>VLOOKUP(700,K2:M6,3,FALSE)</t>
  </si>
  <si>
    <t>motor: #N/A</t>
  </si>
  <si>
    <t>N2-036</t>
  </si>
  <si>
    <t>BUSCARV aproximada sobre tabla ordenada: coge el tramo de abajo</t>
  </si>
  <si>
    <t>VLOOKUP(700,K2:M6,3,TRUE)</t>
  </si>
  <si>
    <t>motor: 0,1 (el tramo que empieza en 500)</t>
  </si>
  <si>
    <t>N2-037</t>
  </si>
  <si>
    <t>BUSCARV aproximada por debajo del primer tramo</t>
  </si>
  <si>
    <t>VLOOKUP(-5,K2:M6,3,TRUE)</t>
  </si>
  <si>
    <t>N2-038</t>
  </si>
  <si>
    <t>BUSCARV sin el cuarto argumento: por omisión es aproximada</t>
  </si>
  <si>
    <t>VLOOKUP(700,K2:M6,3)</t>
  </si>
  <si>
    <t>N2-039</t>
  </si>
  <si>
    <t>BUSCARV aproximada sobre tabla DESORDENADA — el caso que más me preocupa</t>
  </si>
  <si>
    <t>VLOOKUP(700,O2:P6,2,TRUE)</t>
  </si>
  <si>
    <t>A VERIFICAR. Excel no avisa y devuelve algo con coherencia interna; el motor recorre linealmente para imitarlo, pero nadie lo ha comprobado</t>
  </si>
  <si>
    <t>N2-040</t>
  </si>
  <si>
    <t>BUSCARV aproximada desordenada, otro valor</t>
  </si>
  <si>
    <t>VLOOKUP(2000,O2:P6,2,TRUE)</t>
  </si>
  <si>
    <t>N2-041</t>
  </si>
  <si>
    <t>BUSCARV de texto, sin distinguir mayúsculas</t>
  </si>
  <si>
    <t>VLOOKUP("d",L2:M6,2,FALSE)</t>
  </si>
  <si>
    <t>A VERIFICAR. motor: 0,1</t>
  </si>
  <si>
    <t>N2-042</t>
  </si>
  <si>
    <t>BUSCARV exacta con comodín</t>
  </si>
  <si>
    <t>VLOOKUP("?",L2:M6,2,FALSE)</t>
  </si>
  <si>
    <t>A VERIFICAR. Excel admite comodines en modo exacto</t>
  </si>
  <si>
    <t>N2-043</t>
  </si>
  <si>
    <t>BUSCARV con columna fuera de la tabla</t>
  </si>
  <si>
    <t>VLOOKUP(500,K2:M6,9,FALSE)</t>
  </si>
  <si>
    <t>motor: #¡REF!</t>
  </si>
  <si>
    <t>N2-044</t>
  </si>
  <si>
    <t>BUSCARV con columna 0</t>
  </si>
  <si>
    <t>VLOOKUP(500,K2:M6,0,FALSE)</t>
  </si>
  <si>
    <t>A VERIFICAR. motor: #¡VALOR!</t>
  </si>
  <si>
    <t>N2-045</t>
  </si>
  <si>
    <t>BUSCARH exacta</t>
  </si>
  <si>
    <t>HLOOKUP(1000,R2:V3,2,FALSE)</t>
  </si>
  <si>
    <t>motor: 0,12</t>
  </si>
  <si>
    <t>N2-046</t>
  </si>
  <si>
    <t>BUSCARH aproximada</t>
  </si>
  <si>
    <t>HLOOKUP(700,R2:V3,2,TRUE)</t>
  </si>
  <si>
    <t>N2-047</t>
  </si>
  <si>
    <t>INDICE sobre una columna</t>
  </si>
  <si>
    <t>INDEX(M2:M6,4)</t>
  </si>
  <si>
    <t>N2-048</t>
  </si>
  <si>
    <t>INDICE sobre un rango de dos dimensiones</t>
  </si>
  <si>
    <t>INDEX(K2:M6,2,3)</t>
  </si>
  <si>
    <t>motor: 0,08. Ojo: el aplanado es por columnas, equivocarlo da una tabla transpuesta</t>
  </si>
  <si>
    <t>N2-049</t>
  </si>
  <si>
    <t>INDICE fuera de rango</t>
  </si>
  <si>
    <t>INDEX(M2:M6,9)</t>
  </si>
  <si>
    <t>N2-050</t>
  </si>
  <si>
    <t>COINCIDIR exacta</t>
  </si>
  <si>
    <t>MATCH(500,K2:K6,0)</t>
  </si>
  <si>
    <t>motor: 3</t>
  </si>
  <si>
    <t>N2-051</t>
  </si>
  <si>
    <t>COINCIDIR exacta que no encuentra</t>
  </si>
  <si>
    <t>MATCH(700,K2:K6,0)</t>
  </si>
  <si>
    <t>N2-052</t>
  </si>
  <si>
    <t>COINCIDIR aproximada ascendente</t>
  </si>
  <si>
    <t>MATCH(700,K2:K6,1)</t>
  </si>
  <si>
    <t>N2-053</t>
  </si>
  <si>
    <t>COINCIDIR descendente sobre datos ascendentes</t>
  </si>
  <si>
    <t>MATCH(700,K2:K6,-1)</t>
  </si>
  <si>
    <t>A VERIFICAR. El modo -1 espera datos descendentes; aquí están al revés</t>
  </si>
  <si>
    <t>N2-054</t>
  </si>
  <si>
    <t>COINCIDIR de texto con comodín</t>
  </si>
  <si>
    <t>MATCH("*",L2:L6,0)</t>
  </si>
  <si>
    <t>A VERIFICAR. motor: 1</t>
  </si>
  <si>
    <t>N2-055</t>
  </si>
  <si>
    <t>INDICE + COINCIDIR, la pareja clásica</t>
  </si>
  <si>
    <t>INDEX(M2:M6,MATCH(1000,K2:K6,0))</t>
  </si>
  <si>
    <t>N2-056</t>
  </si>
  <si>
    <t>BUSCARX exacta</t>
  </si>
  <si>
    <t>_xlfn.XLOOKUP(500,K2:K6,M2:M6)</t>
  </si>
  <si>
    <t>N2-057</t>
  </si>
  <si>
    <t>BUSCARX que no encuentra, con valor por defecto</t>
  </si>
  <si>
    <t>_xlfn.XLOOKUP(700,K2:K6,M2:M6,"sin tarifa")</t>
  </si>
  <si>
    <t>motor: el texto "sin tarifa"</t>
  </si>
  <si>
    <t>N2-058</t>
  </si>
  <si>
    <t>BUSCARX que no encuentra y sin valor por defecto</t>
  </si>
  <si>
    <t>_xlfn.XLOOKUP(700,K2:K6,M2:M6)</t>
  </si>
  <si>
    <t>N2-059</t>
  </si>
  <si>
    <t>BUSCARX con modo -1: el siguiente más pequeño</t>
  </si>
  <si>
    <t>_xlfn.XLOOKUP(700,K2:K6,M2:M6,,-1)</t>
  </si>
  <si>
    <t>N2-060</t>
  </si>
  <si>
    <t>BUSCARX con modo 1: el siguiente más grande</t>
  </si>
  <si>
    <t>_xlfn.XLOOKUP(700,K2:K6,M2:M6,,1)</t>
  </si>
  <si>
    <t>A VERIFICAR. motor: 0,12</t>
  </si>
  <si>
    <t>N2-061</t>
  </si>
  <si>
    <t>BUSCARX buscando desde el final</t>
  </si>
  <si>
    <t>_xlfn.XLOOKUP(0,K2:K6,M2:M6,,0,-1)</t>
  </si>
  <si>
    <t>A VERIFICAR. motor: 0,05</t>
  </si>
  <si>
    <t>N2-062</t>
  </si>
  <si>
    <t>COINCIDIRX exacta</t>
  </si>
  <si>
    <t>_xlfn.XMATCH(1000,K2:K6)</t>
  </si>
  <si>
    <t>motor: 4</t>
  </si>
  <si>
    <t>N2-063</t>
  </si>
  <si>
    <t>COINCIDIRX con modo -1</t>
  </si>
  <si>
    <t>_xlfn.XMATCH(700,K2:K6,-1)</t>
  </si>
  <si>
    <t>A VERIFICAR. motor: 3</t>
  </si>
  <si>
    <t>N2-085</t>
  </si>
  <si>
    <t>BUSCARX modo -1 sobre la tabla DESORDENADA</t>
  </si>
  <si>
    <t>_xlfn.XLOOKUP(700,O2:O6,P2:P6,,-1)</t>
  </si>
  <si>
    <t>A VERIFICAR. motor: 0,1. BUSCARX no exige orden con los modos -1 y 1 (solo con los binarios ±2), así que tiene que recorrer entera la lista y quedarse con el más cercano</t>
  </si>
  <si>
    <t>N2-086</t>
  </si>
  <si>
    <t>BUSCARX modo 1 sobre la tabla DESORDENADA</t>
  </si>
  <si>
    <t>_xlfn.XLOOKUP(700,O2:O6,P2:P6,,1)</t>
  </si>
  <si>
    <t>N2-064</t>
  </si>
  <si>
    <t>ELEGIR</t>
  </si>
  <si>
    <t>CHOOSE(2,"a","b","c")</t>
  </si>
  <si>
    <t>motor: "b"</t>
  </si>
  <si>
    <t>N2-065</t>
  </si>
  <si>
    <t>ELEGIR con índice fuera de rango</t>
  </si>
  <si>
    <t>CHOOSE(9,"a","b")</t>
  </si>
  <si>
    <t>motor: #¡VALOR!</t>
  </si>
  <si>
    <t>N2-066</t>
  </si>
  <si>
    <t>error</t>
  </si>
  <si>
    <t>SI.ND atrapa #N/A</t>
  </si>
  <si>
    <t>_xlfn.IFNA(NA(),"ok")</t>
  </si>
  <si>
    <t>motor: "ok". En la tanda anterior se escribió sin el prefijo _xlfn y Excel dio #¿NOMBRE?</t>
  </si>
  <si>
    <t>N2-067</t>
  </si>
  <si>
    <t>SI.ND sobre una BUSCARV que falla</t>
  </si>
  <si>
    <t>_xlfn.IFNA(VLOOKUP(700,K2:M6,3,FALSE),"sin tarifa")</t>
  </si>
  <si>
    <t>motor: "sin tarifa"</t>
  </si>
  <si>
    <t>N2-068</t>
  </si>
  <si>
    <t>SI.ND no atrapa un error que no sea #N/A</t>
  </si>
  <si>
    <t>_xlfn.IFNA(1/0,"ok")</t>
  </si>
  <si>
    <t>motor: #¡DIV/0!</t>
  </si>
  <si>
    <t>N2-069</t>
  </si>
  <si>
    <t>SI.ERROR sí lo atrapa</t>
  </si>
  <si>
    <t>IFERROR(1/0,"ok")</t>
  </si>
  <si>
    <t>motor: "ok"</t>
  </si>
  <si>
    <t>N2-070</t>
  </si>
  <si>
    <t>criterio-vacio</t>
  </si>
  <si>
    <t>CONTAR.SI con distinto de un número, con una celda vacía en medio</t>
  </si>
  <si>
    <t>COUNTIF(X2:X5,"&lt;&gt;5")</t>
  </si>
  <si>
    <t>A VERIFICAR. motor: 2 (la vacía cuenta como distinta de 5, por coherencia con el caso de texto que Excel ya confirmó en N1-011)</t>
  </si>
  <si>
    <t>N2-071</t>
  </si>
  <si>
    <t>SUMAR.SI con distinto de un número sobre el mismo rango</t>
  </si>
  <si>
    <t>SUMIF(X2:X5,"&lt;&gt;5")</t>
  </si>
  <si>
    <t>A VERIFICAR. motor: 7</t>
  </si>
  <si>
    <t>N2-072</t>
  </si>
  <si>
    <t>CONTAR.SI de igual a un número, con el hueco en medio</t>
  </si>
  <si>
    <t>COUNTIF(X2:X5,5)</t>
  </si>
  <si>
    <t>motor: 2</t>
  </si>
  <si>
    <t>N2-073</t>
  </si>
  <si>
    <t>FIN.MES un mes después del 31 de enero</t>
  </si>
  <si>
    <t>EOMONTH(DATE(2026,1,31),1)</t>
  </si>
  <si>
    <t>motor: 28/02/2026 como número de serie</t>
  </si>
  <si>
    <t>N2-074</t>
  </si>
  <si>
    <t>FECHA.MES un mes después del 31 de enero</t>
  </si>
  <si>
    <t>EDATE(DATE(2026,1,31),1)</t>
  </si>
  <si>
    <t>A VERIFICAR. motor: 28/02/2026 (recorta al último día del mes)</t>
  </si>
  <si>
    <t>N2-075</t>
  </si>
  <si>
    <t>FIN.MES hacia atrás</t>
  </si>
  <si>
    <t>EOMONTH(DATE(2026,3,15),-2)</t>
  </si>
  <si>
    <t>motor: 31/01/2026</t>
  </si>
  <si>
    <t>N2-076</t>
  </si>
  <si>
    <t>DIAS entre dos fechas</t>
  </si>
  <si>
    <t>DAYS(DATE(2026,3,1),DATE(2026,2,1))</t>
  </si>
  <si>
    <t>motor: 28</t>
  </si>
  <si>
    <t>N2-077</t>
  </si>
  <si>
    <t>DIASEM de un martes, convenio por omisión</t>
  </si>
  <si>
    <t>WEEKDAY(DATE(2026,9,22))</t>
  </si>
  <si>
    <t>motor: 3 (domingo = 1)</t>
  </si>
  <si>
    <t>N2-078</t>
  </si>
  <si>
    <t>DIASEM con convenio 2 (lunes = 1)</t>
  </si>
  <si>
    <t>WEEKDAY(DATE(2026,9,22),2)</t>
  </si>
  <si>
    <t>A VERIFICAR. motor: 2</t>
  </si>
  <si>
    <t>N2-079</t>
  </si>
  <si>
    <t>FECHA con mes 13: pasa al año siguiente</t>
  </si>
  <si>
    <t>DATE(2026,13,1)</t>
  </si>
  <si>
    <t>motor: 01/01/2027</t>
  </si>
  <si>
    <t>N2-080</t>
  </si>
  <si>
    <t>FECHA con día 0: el último del mes anterior</t>
  </si>
  <si>
    <t>DATE(2026,1,0)</t>
  </si>
  <si>
    <t>A VERIFICAR. motor: 31/12/2025</t>
  </si>
  <si>
    <t>N2-081</t>
  </si>
  <si>
    <t>FECHA con año de dos cifras: 24 es 1924, no 2024</t>
  </si>
  <si>
    <t>DATE(24,1,1)</t>
  </si>
  <si>
    <t>motor: 01/01/1924. Confirmado ya en un test unitario; aquí se fija contra Excel</t>
  </si>
  <si>
    <t>N2-082</t>
  </si>
  <si>
    <t>AÑO de un número de serie</t>
  </si>
  <si>
    <t>YEAR(I2)</t>
  </si>
  <si>
    <t>motor: 2026</t>
  </si>
  <si>
    <t>N2-083</t>
  </si>
  <si>
    <t>MES y DIA de un número de serie</t>
  </si>
  <si>
    <t>MONTH(I4)*100+DAY(I4)</t>
  </si>
  <si>
    <t>motor: 701 (1 de julio)</t>
  </si>
  <si>
    <t>N2-084</t>
  </si>
  <si>
    <t>El día 60 de 1900 no existe: el error de año bisiesto que Excel conserva</t>
  </si>
  <si>
    <t>YEAR(60)*10000+MONTH(60)*100+DAY(60)</t>
  </si>
  <si>
    <t>A VERIFICAR. Excel dice 29/02/1900, que no existió. motor: 19000229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</si>
</sst>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7"/>
  <sheetViews>
    <sheetView tabSelected="1" workbookViewId="0">
      <selection activeCell="C23" sqref="C23"/>
    </sheetView>
  </sheetViews>
  <sheetFormatPr baseColWidth="10" defaultColWidth="8.88671875" defaultRowHeight="14.4" x14ac:dyDescent="0.3"/>
  <cols>
    <col min="1" max="1" width="9" customWidth="1"/>
    <col min="2" max="2" width="15" customWidth="1"/>
    <col min="3" max="3" width="62" customWidth="1"/>
    <col min="4" max="4" width="40" customWidth="1"/>
    <col min="5" max="5" width="18" customWidth="1"/>
    <col min="6" max="6" width="70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O1" s="1" t="s">
        <v>12</v>
      </c>
      <c r="P1" s="1" t="s">
        <v>11</v>
      </c>
      <c r="X1" s="1" t="s">
        <v>13</v>
      </c>
    </row>
    <row r="2" spans="1:24" x14ac:dyDescent="0.3">
      <c r="A2" t="s">
        <v>14</v>
      </c>
      <c r="B2" t="s">
        <v>15</v>
      </c>
      <c r="C2" t="s">
        <v>16</v>
      </c>
      <c r="D2" t="s">
        <v>17</v>
      </c>
      <c r="E2">
        <f>IRR(H2:H7)</f>
        <v>0.17072063258596115</v>
      </c>
      <c r="F2" t="s">
        <v>18</v>
      </c>
      <c r="H2">
        <v>-10000</v>
      </c>
      <c r="I2">
        <v>46023</v>
      </c>
      <c r="J2">
        <v>-1000</v>
      </c>
      <c r="K2">
        <v>0</v>
      </c>
      <c r="L2" t="s">
        <v>19</v>
      </c>
      <c r="M2">
        <v>0.05</v>
      </c>
      <c r="O2">
        <v>500</v>
      </c>
      <c r="P2">
        <v>0.1</v>
      </c>
      <c r="R2">
        <v>0</v>
      </c>
      <c r="S2">
        <v>100</v>
      </c>
      <c r="T2">
        <v>500</v>
      </c>
      <c r="U2">
        <v>1000</v>
      </c>
      <c r="V2">
        <v>5000</v>
      </c>
      <c r="X2">
        <v>5</v>
      </c>
    </row>
    <row r="3" spans="1:24" x14ac:dyDescent="0.3">
      <c r="A3" t="s">
        <v>20</v>
      </c>
      <c r="B3" t="s">
        <v>15</v>
      </c>
      <c r="C3" t="s">
        <v>21</v>
      </c>
      <c r="D3" t="s">
        <v>22</v>
      </c>
      <c r="E3">
        <f>IRR(H2:H7,0.5)</f>
        <v>0.17072063258735404</v>
      </c>
      <c r="F3" t="s">
        <v>23</v>
      </c>
      <c r="H3">
        <v>2500</v>
      </c>
      <c r="I3">
        <v>46113</v>
      </c>
      <c r="J3">
        <v>5000</v>
      </c>
      <c r="K3">
        <v>100</v>
      </c>
      <c r="L3" t="s">
        <v>24</v>
      </c>
      <c r="M3">
        <v>0.08</v>
      </c>
      <c r="O3">
        <v>100</v>
      </c>
      <c r="P3">
        <v>0.08</v>
      </c>
      <c r="R3">
        <v>0.05</v>
      </c>
      <c r="S3">
        <v>0.08</v>
      </c>
      <c r="T3">
        <v>0.1</v>
      </c>
      <c r="U3">
        <v>0.12</v>
      </c>
      <c r="V3">
        <v>0.15</v>
      </c>
    </row>
    <row r="4" spans="1:24" x14ac:dyDescent="0.3">
      <c r="A4" t="s">
        <v>25</v>
      </c>
      <c r="B4" t="s">
        <v>15</v>
      </c>
      <c r="C4" t="s">
        <v>26</v>
      </c>
      <c r="D4" t="s">
        <v>27</v>
      </c>
      <c r="E4">
        <f>IRR(H2:H7,-0.5)</f>
        <v>0.17072063258596204</v>
      </c>
      <c r="F4" t="s">
        <v>28</v>
      </c>
      <c r="H4">
        <v>3500</v>
      </c>
      <c r="I4">
        <v>46204</v>
      </c>
      <c r="J4">
        <v>-6000</v>
      </c>
      <c r="K4">
        <v>500</v>
      </c>
      <c r="L4" t="s">
        <v>29</v>
      </c>
      <c r="M4">
        <v>0.1</v>
      </c>
      <c r="O4">
        <v>5000</v>
      </c>
      <c r="P4">
        <v>0.15</v>
      </c>
      <c r="X4">
        <v>7</v>
      </c>
    </row>
    <row r="5" spans="1:24" x14ac:dyDescent="0.3">
      <c r="A5" t="s">
        <v>30</v>
      </c>
      <c r="B5" t="s">
        <v>15</v>
      </c>
      <c r="C5" t="s">
        <v>31</v>
      </c>
      <c r="D5" t="s">
        <v>32</v>
      </c>
      <c r="E5" t="e">
        <f>IRR(H3:H7)</f>
        <v>#NUM!</v>
      </c>
      <c r="F5" t="s">
        <v>33</v>
      </c>
      <c r="H5">
        <v>4500</v>
      </c>
      <c r="I5">
        <v>46388</v>
      </c>
      <c r="J5">
        <v>2000</v>
      </c>
      <c r="K5">
        <v>1000</v>
      </c>
      <c r="L5" t="s">
        <v>34</v>
      </c>
      <c r="M5">
        <v>0.12</v>
      </c>
      <c r="O5">
        <v>0</v>
      </c>
      <c r="P5">
        <v>0.05</v>
      </c>
      <c r="X5">
        <v>5</v>
      </c>
    </row>
    <row r="6" spans="1:24" x14ac:dyDescent="0.3">
      <c r="A6" t="s">
        <v>35</v>
      </c>
      <c r="B6" t="s">
        <v>15</v>
      </c>
      <c r="C6" t="s">
        <v>36</v>
      </c>
      <c r="D6" t="s">
        <v>37</v>
      </c>
      <c r="E6">
        <f>IRR(J2:J5)</f>
        <v>0</v>
      </c>
      <c r="F6" t="s">
        <v>38</v>
      </c>
      <c r="H6">
        <v>3000</v>
      </c>
      <c r="I6">
        <v>46569</v>
      </c>
      <c r="K6">
        <v>5000</v>
      </c>
      <c r="L6" t="s">
        <v>39</v>
      </c>
      <c r="M6">
        <v>0.15</v>
      </c>
      <c r="O6">
        <v>1000</v>
      </c>
      <c r="P6">
        <v>0.12</v>
      </c>
    </row>
    <row r="7" spans="1:24" x14ac:dyDescent="0.3">
      <c r="A7" t="s">
        <v>40</v>
      </c>
      <c r="B7" t="s">
        <v>15</v>
      </c>
      <c r="C7" t="s">
        <v>41</v>
      </c>
      <c r="D7" t="s">
        <v>42</v>
      </c>
      <c r="E7">
        <f>IRR(J2:J5,0.8)</f>
        <v>2.4142135623730931</v>
      </c>
      <c r="F7" t="s">
        <v>43</v>
      </c>
      <c r="H7">
        <v>2000</v>
      </c>
      <c r="I7">
        <v>46753</v>
      </c>
    </row>
    <row r="8" spans="1:24" x14ac:dyDescent="0.3">
      <c r="A8" t="s">
        <v>44</v>
      </c>
      <c r="B8" t="s">
        <v>45</v>
      </c>
      <c r="C8" t="s">
        <v>46</v>
      </c>
      <c r="D8" t="s">
        <v>47</v>
      </c>
      <c r="E8">
        <f>NPV(0.1,H3:H7)+H2</f>
        <v>1837.0888724689667</v>
      </c>
      <c r="F8" t="s">
        <v>48</v>
      </c>
    </row>
    <row r="9" spans="1:24" x14ac:dyDescent="0.3">
      <c r="A9" t="s">
        <v>49</v>
      </c>
      <c r="B9" t="s">
        <v>45</v>
      </c>
      <c r="C9" t="s">
        <v>50</v>
      </c>
      <c r="D9" t="s">
        <v>51</v>
      </c>
      <c r="E9">
        <f>NPV(0.1,H2:H7)</f>
        <v>1670.0807931536056</v>
      </c>
      <c r="F9" t="s">
        <v>52</v>
      </c>
    </row>
    <row r="10" spans="1:24" x14ac:dyDescent="0.3">
      <c r="A10" t="s">
        <v>53</v>
      </c>
      <c r="B10" t="s">
        <v>45</v>
      </c>
      <c r="C10" t="s">
        <v>54</v>
      </c>
      <c r="D10" t="s">
        <v>55</v>
      </c>
      <c r="E10">
        <f>NPV(0,H2:H7)</f>
        <v>5500</v>
      </c>
      <c r="F10" t="s">
        <v>56</v>
      </c>
    </row>
    <row r="11" spans="1:24" x14ac:dyDescent="0.3">
      <c r="A11" t="s">
        <v>57</v>
      </c>
      <c r="B11" t="s">
        <v>45</v>
      </c>
      <c r="C11" t="s">
        <v>58</v>
      </c>
      <c r="D11" t="s">
        <v>59</v>
      </c>
      <c r="E11">
        <f>NPV(-0.05,H2:H7)</f>
        <v>8448.6291159049633</v>
      </c>
      <c r="F11" t="s">
        <v>28</v>
      </c>
    </row>
    <row r="12" spans="1:24" x14ac:dyDescent="0.3">
      <c r="A12" t="s">
        <v>60</v>
      </c>
      <c r="B12" t="s">
        <v>45</v>
      </c>
      <c r="C12" t="s">
        <v>61</v>
      </c>
      <c r="D12" t="s">
        <v>62</v>
      </c>
      <c r="E12">
        <f>NPV(0.1,100)</f>
        <v>90.909090909090907</v>
      </c>
      <c r="F12" t="s">
        <v>63</v>
      </c>
    </row>
    <row r="13" spans="1:24" x14ac:dyDescent="0.3">
      <c r="A13" t="s">
        <v>64</v>
      </c>
      <c r="B13" t="s">
        <v>45</v>
      </c>
      <c r="C13" t="s">
        <v>65</v>
      </c>
      <c r="D13" t="s">
        <v>66</v>
      </c>
      <c r="E13">
        <f>XNPV(0.1,H2:H7,I2:I7)</f>
        <v>4125.5314617449949</v>
      </c>
      <c r="F13" t="s">
        <v>67</v>
      </c>
    </row>
    <row r="14" spans="1:24" x14ac:dyDescent="0.3">
      <c r="A14" t="s">
        <v>68</v>
      </c>
      <c r="B14" t="s">
        <v>15</v>
      </c>
      <c r="C14" t="s">
        <v>69</v>
      </c>
      <c r="D14" t="s">
        <v>70</v>
      </c>
      <c r="E14">
        <f>XIRR(H2:H7,I2:I7)</f>
        <v>0.61473866105079666</v>
      </c>
      <c r="F14" t="s">
        <v>28</v>
      </c>
    </row>
    <row r="15" spans="1:24" x14ac:dyDescent="0.3">
      <c r="A15" t="s">
        <v>71</v>
      </c>
      <c r="B15" t="s">
        <v>15</v>
      </c>
      <c r="C15" t="s">
        <v>72</v>
      </c>
      <c r="D15" t="s">
        <v>73</v>
      </c>
      <c r="E15">
        <f>XIRR(H2:H7,I2:I7,0.2)</f>
        <v>0.61473866105079666</v>
      </c>
      <c r="F15" t="s">
        <v>74</v>
      </c>
    </row>
    <row r="16" spans="1:24" x14ac:dyDescent="0.3">
      <c r="A16" t="s">
        <v>75</v>
      </c>
      <c r="B16" t="s">
        <v>76</v>
      </c>
      <c r="C16" t="s">
        <v>77</v>
      </c>
      <c r="D16" t="s">
        <v>78</v>
      </c>
      <c r="E16">
        <f>PMT(0.05/12,360,200000)</f>
        <v>-1073.6432460242781</v>
      </c>
      <c r="F16" t="s">
        <v>79</v>
      </c>
    </row>
    <row r="17" spans="1:6" x14ac:dyDescent="0.3">
      <c r="A17" t="s">
        <v>80</v>
      </c>
      <c r="B17" t="s">
        <v>76</v>
      </c>
      <c r="C17" t="s">
        <v>81</v>
      </c>
      <c r="D17" t="s">
        <v>82</v>
      </c>
      <c r="E17">
        <f>PMT(0.05/12,360,200000,0,1)</f>
        <v>-1069.1882947959616</v>
      </c>
      <c r="F17" t="s">
        <v>83</v>
      </c>
    </row>
    <row r="18" spans="1:6" x14ac:dyDescent="0.3">
      <c r="A18" t="s">
        <v>84</v>
      </c>
      <c r="B18" t="s">
        <v>76</v>
      </c>
      <c r="C18" t="s">
        <v>85</v>
      </c>
      <c r="D18" t="s">
        <v>86</v>
      </c>
      <c r="E18">
        <f>PMT(0.05/12,360,200000,50000)</f>
        <v>-1133.7207241970143</v>
      </c>
      <c r="F18" t="s">
        <v>28</v>
      </c>
    </row>
    <row r="19" spans="1:6" x14ac:dyDescent="0.3">
      <c r="A19" t="s">
        <v>87</v>
      </c>
      <c r="B19" t="s">
        <v>76</v>
      </c>
      <c r="C19" t="s">
        <v>88</v>
      </c>
      <c r="D19" t="s">
        <v>89</v>
      </c>
      <c r="E19">
        <f>PMT(0,10,1000)</f>
        <v>-100</v>
      </c>
      <c r="F19" t="s">
        <v>90</v>
      </c>
    </row>
    <row r="20" spans="1:6" x14ac:dyDescent="0.3">
      <c r="A20" t="s">
        <v>91</v>
      </c>
      <c r="B20" t="s">
        <v>76</v>
      </c>
      <c r="C20" t="s">
        <v>92</v>
      </c>
      <c r="D20" t="s">
        <v>93</v>
      </c>
      <c r="E20">
        <f>PV(0.05,10,-1000)</f>
        <v>7721.7349291848132</v>
      </c>
      <c r="F20" t="s">
        <v>94</v>
      </c>
    </row>
    <row r="21" spans="1:6" x14ac:dyDescent="0.3">
      <c r="A21" t="s">
        <v>95</v>
      </c>
      <c r="B21" t="s">
        <v>76</v>
      </c>
      <c r="C21" t="s">
        <v>96</v>
      </c>
      <c r="D21" t="s">
        <v>97</v>
      </c>
      <c r="E21">
        <f>FV(0.05,10,-1000)</f>
        <v>12577.89253554883</v>
      </c>
      <c r="F21" t="s">
        <v>98</v>
      </c>
    </row>
    <row r="22" spans="1:6" x14ac:dyDescent="0.3">
      <c r="A22" t="s">
        <v>99</v>
      </c>
      <c r="B22" t="s">
        <v>76</v>
      </c>
      <c r="C22" t="s">
        <v>100</v>
      </c>
      <c r="D22" t="s">
        <v>101</v>
      </c>
      <c r="E22">
        <f>FV(0.05,10,-1000,0,1)</f>
        <v>13206.787162326273</v>
      </c>
      <c r="F22" t="s">
        <v>102</v>
      </c>
    </row>
    <row r="23" spans="1:6" x14ac:dyDescent="0.3">
      <c r="A23" t="s">
        <v>103</v>
      </c>
      <c r="B23" t="s">
        <v>76</v>
      </c>
      <c r="C23" t="s">
        <v>104</v>
      </c>
      <c r="D23" t="s">
        <v>105</v>
      </c>
      <c r="E23">
        <f>NPER(0.05,-1000,8000)</f>
        <v>10.469848430762866</v>
      </c>
      <c r="F23" t="s">
        <v>106</v>
      </c>
    </row>
    <row r="24" spans="1:6" x14ac:dyDescent="0.3">
      <c r="A24" t="s">
        <v>107</v>
      </c>
      <c r="B24" t="s">
        <v>76</v>
      </c>
      <c r="C24" t="s">
        <v>108</v>
      </c>
      <c r="D24" t="s">
        <v>109</v>
      </c>
      <c r="E24">
        <f>NPER(0,-1000,8000)</f>
        <v>8</v>
      </c>
      <c r="F24" t="s">
        <v>110</v>
      </c>
    </row>
    <row r="25" spans="1:6" x14ac:dyDescent="0.3">
      <c r="A25" t="s">
        <v>111</v>
      </c>
      <c r="B25" t="s">
        <v>76</v>
      </c>
      <c r="C25" t="s">
        <v>112</v>
      </c>
      <c r="D25" t="s">
        <v>113</v>
      </c>
      <c r="E25">
        <f>RATE(10,-1000,8000)</f>
        <v>4.2774978035586587E-2</v>
      </c>
      <c r="F25" t="s">
        <v>114</v>
      </c>
    </row>
    <row r="26" spans="1:6" x14ac:dyDescent="0.3">
      <c r="A26" t="s">
        <v>115</v>
      </c>
      <c r="B26" t="s">
        <v>76</v>
      </c>
      <c r="C26" t="s">
        <v>116</v>
      </c>
      <c r="D26" t="s">
        <v>117</v>
      </c>
      <c r="E26">
        <f>RATE(10,-1000,8000,0,0,0.2)</f>
        <v>4.2774978035162087E-2</v>
      </c>
      <c r="F26" t="s">
        <v>118</v>
      </c>
    </row>
    <row r="27" spans="1:6" x14ac:dyDescent="0.3">
      <c r="A27" t="s">
        <v>119</v>
      </c>
      <c r="B27" t="s">
        <v>76</v>
      </c>
      <c r="C27" t="s">
        <v>120</v>
      </c>
      <c r="D27" t="s">
        <v>121</v>
      </c>
      <c r="E27">
        <f>RATE(3,-100,1000)</f>
        <v>-0.42441744383154345</v>
      </c>
      <c r="F27" t="s">
        <v>122</v>
      </c>
    </row>
    <row r="28" spans="1:6" x14ac:dyDescent="0.3">
      <c r="A28" t="s">
        <v>123</v>
      </c>
      <c r="B28" t="s">
        <v>76</v>
      </c>
      <c r="C28" t="s">
        <v>124</v>
      </c>
      <c r="D28" t="s">
        <v>125</v>
      </c>
      <c r="E28">
        <f>IPMT(0.05/12,1,360,200000)</f>
        <v>-833.33333333333337</v>
      </c>
      <c r="F28" t="s">
        <v>126</v>
      </c>
    </row>
    <row r="29" spans="1:6" x14ac:dyDescent="0.3">
      <c r="A29" t="s">
        <v>127</v>
      </c>
      <c r="B29" t="s">
        <v>76</v>
      </c>
      <c r="C29" t="s">
        <v>128</v>
      </c>
      <c r="D29" t="s">
        <v>129</v>
      </c>
      <c r="E29">
        <f>PPMT(0.05/12,1,360,200000)</f>
        <v>-240.30991269094474</v>
      </c>
      <c r="F29" t="s">
        <v>130</v>
      </c>
    </row>
    <row r="30" spans="1:6" x14ac:dyDescent="0.3">
      <c r="A30" t="s">
        <v>131</v>
      </c>
      <c r="B30" t="s">
        <v>76</v>
      </c>
      <c r="C30" t="s">
        <v>132</v>
      </c>
      <c r="D30" t="s">
        <v>133</v>
      </c>
      <c r="E30">
        <f>IPMT(0.05/12,360,360,200000)</f>
        <v>-4.4549512283165056</v>
      </c>
      <c r="F30" t="s">
        <v>28</v>
      </c>
    </row>
    <row r="31" spans="1:6" x14ac:dyDescent="0.3">
      <c r="A31" t="s">
        <v>134</v>
      </c>
      <c r="B31" t="s">
        <v>76</v>
      </c>
      <c r="C31" t="s">
        <v>135</v>
      </c>
      <c r="D31" t="s">
        <v>136</v>
      </c>
      <c r="E31">
        <f>IPMT(0.05/12,1,360,200000,0,1)</f>
        <v>0</v>
      </c>
      <c r="F31" t="s">
        <v>137</v>
      </c>
    </row>
    <row r="32" spans="1:6" x14ac:dyDescent="0.3">
      <c r="A32" t="s">
        <v>138</v>
      </c>
      <c r="B32" t="s">
        <v>76</v>
      </c>
      <c r="C32" t="s">
        <v>139</v>
      </c>
      <c r="D32" t="s">
        <v>140</v>
      </c>
      <c r="E32">
        <f>PPMT(0.05/12,1,360,200000,0,1)</f>
        <v>-1069.1882947959616</v>
      </c>
      <c r="F32" t="s">
        <v>28</v>
      </c>
    </row>
    <row r="33" spans="1:6" x14ac:dyDescent="0.3">
      <c r="A33" t="s">
        <v>141</v>
      </c>
      <c r="B33" t="s">
        <v>76</v>
      </c>
      <c r="C33" t="s">
        <v>142</v>
      </c>
      <c r="D33" t="s">
        <v>143</v>
      </c>
      <c r="E33">
        <f>IPMT(0.05/12,2,360,200000,0,1)</f>
        <v>-828.87838210501707</v>
      </c>
      <c r="F33" t="s">
        <v>28</v>
      </c>
    </row>
    <row r="34" spans="1:6" x14ac:dyDescent="0.3">
      <c r="A34" t="s">
        <v>144</v>
      </c>
      <c r="B34" t="s">
        <v>76</v>
      </c>
      <c r="C34" t="s">
        <v>145</v>
      </c>
      <c r="D34" t="s">
        <v>146</v>
      </c>
      <c r="E34">
        <f>IPMT(0.05/12,7,360,200000)+PPMT(0.05/12,7,360,200000)-PMT(0.05/12,360,200000)</f>
        <v>0</v>
      </c>
      <c r="F34" t="s">
        <v>147</v>
      </c>
    </row>
    <row r="35" spans="1:6" x14ac:dyDescent="0.3">
      <c r="A35" t="s">
        <v>148</v>
      </c>
      <c r="B35" t="s">
        <v>149</v>
      </c>
      <c r="C35" t="s">
        <v>150</v>
      </c>
      <c r="D35" t="s">
        <v>151</v>
      </c>
      <c r="E35">
        <f>VLOOKUP(500,K2:M6,3,FALSE)</f>
        <v>0.1</v>
      </c>
      <c r="F35" t="s">
        <v>152</v>
      </c>
    </row>
    <row r="36" spans="1:6" x14ac:dyDescent="0.3">
      <c r="A36" t="s">
        <v>153</v>
      </c>
      <c r="B36" t="s">
        <v>149</v>
      </c>
      <c r="C36" t="s">
        <v>154</v>
      </c>
      <c r="D36" t="s">
        <v>155</v>
      </c>
      <c r="E36" t="e">
        <f>VLOOKUP(700,K2:M6,3,FALSE)</f>
        <v>#N/A</v>
      </c>
      <c r="F36" t="s">
        <v>156</v>
      </c>
    </row>
    <row r="37" spans="1:6" x14ac:dyDescent="0.3">
      <c r="A37" t="s">
        <v>157</v>
      </c>
      <c r="B37" t="s">
        <v>149</v>
      </c>
      <c r="C37" t="s">
        <v>158</v>
      </c>
      <c r="D37" t="s">
        <v>159</v>
      </c>
      <c r="E37">
        <f>VLOOKUP(700,K2:M6,3,TRUE)</f>
        <v>0.1</v>
      </c>
      <c r="F37" t="s">
        <v>160</v>
      </c>
    </row>
    <row r="38" spans="1:6" x14ac:dyDescent="0.3">
      <c r="A38" t="s">
        <v>161</v>
      </c>
      <c r="B38" t="s">
        <v>149</v>
      </c>
      <c r="C38" t="s">
        <v>162</v>
      </c>
      <c r="D38" t="s">
        <v>163</v>
      </c>
      <c r="E38" t="e">
        <f>VLOOKUP(-5,K2:M6,3,TRUE)</f>
        <v>#N/A</v>
      </c>
      <c r="F38" t="s">
        <v>156</v>
      </c>
    </row>
    <row r="39" spans="1:6" x14ac:dyDescent="0.3">
      <c r="A39" t="s">
        <v>164</v>
      </c>
      <c r="B39" t="s">
        <v>149</v>
      </c>
      <c r="C39" t="s">
        <v>165</v>
      </c>
      <c r="D39" t="s">
        <v>166</v>
      </c>
      <c r="E39">
        <f>VLOOKUP(700,K2:M6,3)</f>
        <v>0.1</v>
      </c>
      <c r="F39" t="s">
        <v>152</v>
      </c>
    </row>
    <row r="40" spans="1:6" x14ac:dyDescent="0.3">
      <c r="A40" t="s">
        <v>167</v>
      </c>
      <c r="B40" t="s">
        <v>149</v>
      </c>
      <c r="C40" t="s">
        <v>168</v>
      </c>
      <c r="D40" t="s">
        <v>169</v>
      </c>
      <c r="E40">
        <f>VLOOKUP(700,O2:P6,2,TRUE)</f>
        <v>0.08</v>
      </c>
      <c r="F40" t="s">
        <v>170</v>
      </c>
    </row>
    <row r="41" spans="1:6" x14ac:dyDescent="0.3">
      <c r="A41" t="s">
        <v>171</v>
      </c>
      <c r="B41" t="s">
        <v>149</v>
      </c>
      <c r="C41" t="s">
        <v>172</v>
      </c>
      <c r="D41" t="s">
        <v>173</v>
      </c>
      <c r="E41">
        <f>VLOOKUP(2000,O2:P6,2,TRUE)</f>
        <v>0.08</v>
      </c>
      <c r="F41" t="s">
        <v>28</v>
      </c>
    </row>
    <row r="42" spans="1:6" x14ac:dyDescent="0.3">
      <c r="A42" t="s">
        <v>174</v>
      </c>
      <c r="B42" t="s">
        <v>149</v>
      </c>
      <c r="C42" t="s">
        <v>175</v>
      </c>
      <c r="D42" t="s">
        <v>176</v>
      </c>
      <c r="E42">
        <f>VLOOKUP("d",L2:M6,2,FALSE)</f>
        <v>0.1</v>
      </c>
      <c r="F42" t="s">
        <v>177</v>
      </c>
    </row>
    <row r="43" spans="1:6" x14ac:dyDescent="0.3">
      <c r="A43" t="s">
        <v>178</v>
      </c>
      <c r="B43" t="s">
        <v>149</v>
      </c>
      <c r="C43" t="s">
        <v>179</v>
      </c>
      <c r="D43" t="s">
        <v>180</v>
      </c>
      <c r="E43">
        <f>VLOOKUP("?",L2:M6,2,FALSE)</f>
        <v>0.05</v>
      </c>
      <c r="F43" t="s">
        <v>181</v>
      </c>
    </row>
    <row r="44" spans="1:6" x14ac:dyDescent="0.3">
      <c r="A44" t="s">
        <v>182</v>
      </c>
      <c r="B44" t="s">
        <v>149</v>
      </c>
      <c r="C44" t="s">
        <v>183</v>
      </c>
      <c r="D44" t="s">
        <v>184</v>
      </c>
      <c r="E44" t="e">
        <f>VLOOKUP(500,K2:M6,9,FALSE)</f>
        <v>#REF!</v>
      </c>
      <c r="F44" t="s">
        <v>185</v>
      </c>
    </row>
    <row r="45" spans="1:6" x14ac:dyDescent="0.3">
      <c r="A45" t="s">
        <v>186</v>
      </c>
      <c r="B45" t="s">
        <v>149</v>
      </c>
      <c r="C45" t="s">
        <v>187</v>
      </c>
      <c r="D45" t="s">
        <v>188</v>
      </c>
      <c r="E45" t="e" vm="1">
        <f>VLOOKUP(500,K2:M6,0,FALSE)</f>
        <v>#VALUE!</v>
      </c>
      <c r="F45" t="s">
        <v>189</v>
      </c>
    </row>
    <row r="46" spans="1:6" x14ac:dyDescent="0.3">
      <c r="A46" t="s">
        <v>190</v>
      </c>
      <c r="B46" t="s">
        <v>149</v>
      </c>
      <c r="C46" t="s">
        <v>191</v>
      </c>
      <c r="D46" t="s">
        <v>192</v>
      </c>
      <c r="E46">
        <f>HLOOKUP(1000,R2:V3,2,FALSE)</f>
        <v>0.12</v>
      </c>
      <c r="F46" t="s">
        <v>193</v>
      </c>
    </row>
    <row r="47" spans="1:6" x14ac:dyDescent="0.3">
      <c r="A47" t="s">
        <v>194</v>
      </c>
      <c r="B47" t="s">
        <v>149</v>
      </c>
      <c r="C47" t="s">
        <v>195</v>
      </c>
      <c r="D47" t="s">
        <v>196</v>
      </c>
      <c r="E47">
        <f>HLOOKUP(700,R2:V3,2,TRUE)</f>
        <v>0.1</v>
      </c>
      <c r="F47" t="s">
        <v>152</v>
      </c>
    </row>
    <row r="48" spans="1:6" x14ac:dyDescent="0.3">
      <c r="A48" t="s">
        <v>197</v>
      </c>
      <c r="B48" t="s">
        <v>149</v>
      </c>
      <c r="C48" t="s">
        <v>198</v>
      </c>
      <c r="D48" t="s">
        <v>199</v>
      </c>
      <c r="E48">
        <f>INDEX(M2:M6,4)</f>
        <v>0.12</v>
      </c>
      <c r="F48" t="s">
        <v>193</v>
      </c>
    </row>
    <row r="49" spans="1:6" x14ac:dyDescent="0.3">
      <c r="A49" t="s">
        <v>200</v>
      </c>
      <c r="B49" t="s">
        <v>149</v>
      </c>
      <c r="C49" t="s">
        <v>201</v>
      </c>
      <c r="D49" t="s">
        <v>202</v>
      </c>
      <c r="E49">
        <f>INDEX(K2:M6,2,3)</f>
        <v>0.08</v>
      </c>
      <c r="F49" t="s">
        <v>203</v>
      </c>
    </row>
    <row r="50" spans="1:6" x14ac:dyDescent="0.3">
      <c r="A50" t="s">
        <v>204</v>
      </c>
      <c r="B50" t="s">
        <v>149</v>
      </c>
      <c r="C50" t="s">
        <v>205</v>
      </c>
      <c r="D50" t="s">
        <v>206</v>
      </c>
      <c r="E50" t="e">
        <f>INDEX(M2:M6,9)</f>
        <v>#REF!</v>
      </c>
      <c r="F50" t="s">
        <v>185</v>
      </c>
    </row>
    <row r="51" spans="1:6" x14ac:dyDescent="0.3">
      <c r="A51" t="s">
        <v>207</v>
      </c>
      <c r="B51" t="s">
        <v>149</v>
      </c>
      <c r="C51" t="s">
        <v>208</v>
      </c>
      <c r="D51" t="s">
        <v>209</v>
      </c>
      <c r="E51">
        <f>MATCH(500,K2:K6,0)</f>
        <v>3</v>
      </c>
      <c r="F51" t="s">
        <v>210</v>
      </c>
    </row>
    <row r="52" spans="1:6" x14ac:dyDescent="0.3">
      <c r="A52" t="s">
        <v>211</v>
      </c>
      <c r="B52" t="s">
        <v>149</v>
      </c>
      <c r="C52" t="s">
        <v>212</v>
      </c>
      <c r="D52" t="s">
        <v>213</v>
      </c>
      <c r="E52" t="e">
        <f>MATCH(700,K2:K6,0)</f>
        <v>#N/A</v>
      </c>
      <c r="F52" t="s">
        <v>156</v>
      </c>
    </row>
    <row r="53" spans="1:6" x14ac:dyDescent="0.3">
      <c r="A53" t="s">
        <v>214</v>
      </c>
      <c r="B53" t="s">
        <v>149</v>
      </c>
      <c r="C53" t="s">
        <v>215</v>
      </c>
      <c r="D53" t="s">
        <v>216</v>
      </c>
      <c r="E53">
        <f>MATCH(700,K2:K6,1)</f>
        <v>3</v>
      </c>
      <c r="F53" t="s">
        <v>210</v>
      </c>
    </row>
    <row r="54" spans="1:6" x14ac:dyDescent="0.3">
      <c r="A54" t="s">
        <v>217</v>
      </c>
      <c r="B54" t="s">
        <v>149</v>
      </c>
      <c r="C54" t="s">
        <v>218</v>
      </c>
      <c r="D54" t="s">
        <v>219</v>
      </c>
      <c r="E54" t="e">
        <f>MATCH(700,K2:K6,-1)</f>
        <v>#N/A</v>
      </c>
      <c r="F54" t="s">
        <v>220</v>
      </c>
    </row>
    <row r="55" spans="1:6" x14ac:dyDescent="0.3">
      <c r="A55" t="s">
        <v>221</v>
      </c>
      <c r="B55" t="s">
        <v>149</v>
      </c>
      <c r="C55" t="s">
        <v>222</v>
      </c>
      <c r="D55" t="s">
        <v>223</v>
      </c>
      <c r="E55">
        <f>MATCH("*",L2:L6,0)</f>
        <v>1</v>
      </c>
      <c r="F55" t="s">
        <v>224</v>
      </c>
    </row>
    <row r="56" spans="1:6" x14ac:dyDescent="0.3">
      <c r="A56" t="s">
        <v>225</v>
      </c>
      <c r="B56" t="s">
        <v>149</v>
      </c>
      <c r="C56" t="s">
        <v>226</v>
      </c>
      <c r="D56" t="s">
        <v>227</v>
      </c>
      <c r="E56">
        <f>INDEX(M2:M6,MATCH(1000,K2:K6,0))</f>
        <v>0.12</v>
      </c>
      <c r="F56" t="s">
        <v>193</v>
      </c>
    </row>
    <row r="57" spans="1:6" x14ac:dyDescent="0.3">
      <c r="A57" t="s">
        <v>228</v>
      </c>
      <c r="B57" t="s">
        <v>149</v>
      </c>
      <c r="C57" t="s">
        <v>229</v>
      </c>
      <c r="D57" t="s">
        <v>230</v>
      </c>
      <c r="E57">
        <f>_xlfn.XLOOKUP(500,K2:K6,M2:M6)</f>
        <v>0.1</v>
      </c>
      <c r="F57" t="s">
        <v>152</v>
      </c>
    </row>
    <row r="58" spans="1:6" x14ac:dyDescent="0.3">
      <c r="A58" t="s">
        <v>231</v>
      </c>
      <c r="B58" t="s">
        <v>149</v>
      </c>
      <c r="C58" t="s">
        <v>232</v>
      </c>
      <c r="D58" t="s">
        <v>233</v>
      </c>
      <c r="E58" t="str">
        <f>_xlfn.XLOOKUP(700,K2:K6,M2:M6,"sin tarifa")</f>
        <v>sin tarifa</v>
      </c>
      <c r="F58" t="s">
        <v>234</v>
      </c>
    </row>
    <row r="59" spans="1:6" x14ac:dyDescent="0.3">
      <c r="A59" t="s">
        <v>235</v>
      </c>
      <c r="B59" t="s">
        <v>149</v>
      </c>
      <c r="C59" t="s">
        <v>236</v>
      </c>
      <c r="D59" t="s">
        <v>237</v>
      </c>
      <c r="E59" t="e">
        <f>_xlfn.XLOOKUP(700,K2:K6,M2:M6)</f>
        <v>#N/A</v>
      </c>
      <c r="F59" t="s">
        <v>156</v>
      </c>
    </row>
    <row r="60" spans="1:6" x14ac:dyDescent="0.3">
      <c r="A60" t="s">
        <v>238</v>
      </c>
      <c r="B60" t="s">
        <v>149</v>
      </c>
      <c r="C60" t="s">
        <v>239</v>
      </c>
      <c r="D60" t="s">
        <v>240</v>
      </c>
      <c r="E60">
        <f>_xlfn.XLOOKUP(700,K2:K6,M2:M6,,-1)</f>
        <v>0.1</v>
      </c>
      <c r="F60" t="s">
        <v>177</v>
      </c>
    </row>
    <row r="61" spans="1:6" x14ac:dyDescent="0.3">
      <c r="A61" t="s">
        <v>241</v>
      </c>
      <c r="B61" t="s">
        <v>149</v>
      </c>
      <c r="C61" t="s">
        <v>242</v>
      </c>
      <c r="D61" t="s">
        <v>243</v>
      </c>
      <c r="E61">
        <f>_xlfn.XLOOKUP(700,K2:K6,M2:M6,,1)</f>
        <v>0.12</v>
      </c>
      <c r="F61" t="s">
        <v>244</v>
      </c>
    </row>
    <row r="62" spans="1:6" x14ac:dyDescent="0.3">
      <c r="A62" t="s">
        <v>245</v>
      </c>
      <c r="B62" t="s">
        <v>149</v>
      </c>
      <c r="C62" t="s">
        <v>246</v>
      </c>
      <c r="D62" t="s">
        <v>247</v>
      </c>
      <c r="E62">
        <f>_xlfn.XLOOKUP(0,K2:K6,M2:M6,,0,-1)</f>
        <v>0.05</v>
      </c>
      <c r="F62" t="s">
        <v>248</v>
      </c>
    </row>
    <row r="63" spans="1:6" x14ac:dyDescent="0.3">
      <c r="A63" t="s">
        <v>249</v>
      </c>
      <c r="B63" t="s">
        <v>149</v>
      </c>
      <c r="C63" t="s">
        <v>250</v>
      </c>
      <c r="D63" t="s">
        <v>251</v>
      </c>
      <c r="E63">
        <f>_xlfn.XMATCH(1000,K2:K6)</f>
        <v>4</v>
      </c>
      <c r="F63" t="s">
        <v>252</v>
      </c>
    </row>
    <row r="64" spans="1:6" x14ac:dyDescent="0.3">
      <c r="A64" t="s">
        <v>253</v>
      </c>
      <c r="B64" t="s">
        <v>149</v>
      </c>
      <c r="C64" t="s">
        <v>254</v>
      </c>
      <c r="D64" t="s">
        <v>255</v>
      </c>
      <c r="E64">
        <f>_xlfn.XMATCH(700,K2:K6,-1)</f>
        <v>3</v>
      </c>
      <c r="F64" t="s">
        <v>256</v>
      </c>
    </row>
    <row r="65" spans="1:6" x14ac:dyDescent="0.3">
      <c r="A65" t="s">
        <v>257</v>
      </c>
      <c r="B65" t="s">
        <v>149</v>
      </c>
      <c r="C65" t="s">
        <v>258</v>
      </c>
      <c r="D65" t="s">
        <v>259</v>
      </c>
      <c r="E65">
        <f>_xlfn.XLOOKUP(700,O2:O6,P2:P6,,-1)</f>
        <v>0.1</v>
      </c>
      <c r="F65" t="s">
        <v>260</v>
      </c>
    </row>
    <row r="66" spans="1:6" x14ac:dyDescent="0.3">
      <c r="A66" t="s">
        <v>261</v>
      </c>
      <c r="B66" t="s">
        <v>149</v>
      </c>
      <c r="C66" t="s">
        <v>262</v>
      </c>
      <c r="D66" t="s">
        <v>263</v>
      </c>
      <c r="E66">
        <f>_xlfn.XLOOKUP(700,O2:O6,P2:P6,,1)</f>
        <v>0.12</v>
      </c>
      <c r="F66" t="s">
        <v>244</v>
      </c>
    </row>
    <row r="67" spans="1:6" x14ac:dyDescent="0.3">
      <c r="A67" t="s">
        <v>264</v>
      </c>
      <c r="B67" t="s">
        <v>149</v>
      </c>
      <c r="C67" t="s">
        <v>265</v>
      </c>
      <c r="D67" t="s">
        <v>266</v>
      </c>
      <c r="E67" t="str">
        <f>CHOOSE(2,"a","b","c")</f>
        <v>b</v>
      </c>
      <c r="F67" t="s">
        <v>267</v>
      </c>
    </row>
    <row r="68" spans="1:6" x14ac:dyDescent="0.3">
      <c r="A68" t="s">
        <v>268</v>
      </c>
      <c r="B68" t="s">
        <v>149</v>
      </c>
      <c r="C68" t="s">
        <v>269</v>
      </c>
      <c r="D68" t="s">
        <v>270</v>
      </c>
      <c r="E68" t="e">
        <f>CHOOSE(9,"a","b")</f>
        <v>#VALUE!</v>
      </c>
      <c r="F68" t="s">
        <v>271</v>
      </c>
    </row>
    <row r="69" spans="1:6" x14ac:dyDescent="0.3">
      <c r="A69" t="s">
        <v>272</v>
      </c>
      <c r="B69" t="s">
        <v>273</v>
      </c>
      <c r="C69" t="s">
        <v>274</v>
      </c>
      <c r="D69" t="s">
        <v>275</v>
      </c>
      <c r="E69" t="str">
        <f>_xlfn.IFNA(NA(),"ok")</f>
        <v>ok</v>
      </c>
      <c r="F69" t="s">
        <v>276</v>
      </c>
    </row>
    <row r="70" spans="1:6" x14ac:dyDescent="0.3">
      <c r="A70" t="s">
        <v>277</v>
      </c>
      <c r="B70" t="s">
        <v>273</v>
      </c>
      <c r="C70" t="s">
        <v>278</v>
      </c>
      <c r="D70" t="s">
        <v>279</v>
      </c>
      <c r="E70" t="str">
        <f>_xlfn.IFNA(VLOOKUP(700,K2:M6,3,FALSE),"sin tarifa")</f>
        <v>sin tarifa</v>
      </c>
      <c r="F70" t="s">
        <v>280</v>
      </c>
    </row>
    <row r="71" spans="1:6" x14ac:dyDescent="0.3">
      <c r="A71" t="s">
        <v>281</v>
      </c>
      <c r="B71" t="s">
        <v>273</v>
      </c>
      <c r="C71" t="s">
        <v>282</v>
      </c>
      <c r="D71" t="s">
        <v>283</v>
      </c>
      <c r="E71" t="e">
        <f>_xlfn.IFNA(1/0,"ok")</f>
        <v>#DIV/0!</v>
      </c>
      <c r="F71" t="s">
        <v>284</v>
      </c>
    </row>
    <row r="72" spans="1:6" x14ac:dyDescent="0.3">
      <c r="A72" t="s">
        <v>285</v>
      </c>
      <c r="B72" t="s">
        <v>273</v>
      </c>
      <c r="C72" t="s">
        <v>286</v>
      </c>
      <c r="D72" t="s">
        <v>287</v>
      </c>
      <c r="E72" t="str">
        <f>IFERROR(1/0,"ok")</f>
        <v>ok</v>
      </c>
      <c r="F72" t="s">
        <v>288</v>
      </c>
    </row>
    <row r="73" spans="1:6" x14ac:dyDescent="0.3">
      <c r="A73" t="s">
        <v>289</v>
      </c>
      <c r="B73" t="s">
        <v>290</v>
      </c>
      <c r="C73" t="s">
        <v>291</v>
      </c>
      <c r="D73" t="s">
        <v>292</v>
      </c>
      <c r="E73">
        <f>COUNTIF(X2:X5,"&lt;&gt;5")</f>
        <v>2</v>
      </c>
      <c r="F73" t="s">
        <v>293</v>
      </c>
    </row>
    <row r="74" spans="1:6" x14ac:dyDescent="0.3">
      <c r="A74" t="s">
        <v>294</v>
      </c>
      <c r="B74" t="s">
        <v>290</v>
      </c>
      <c r="C74" t="s">
        <v>295</v>
      </c>
      <c r="D74" t="s">
        <v>296</v>
      </c>
      <c r="E74">
        <f>SUMIF(X2:X5,"&lt;&gt;5")</f>
        <v>7</v>
      </c>
      <c r="F74" t="s">
        <v>297</v>
      </c>
    </row>
    <row r="75" spans="1:6" x14ac:dyDescent="0.3">
      <c r="A75" t="s">
        <v>298</v>
      </c>
      <c r="B75" t="s">
        <v>290</v>
      </c>
      <c r="C75" t="s">
        <v>299</v>
      </c>
      <c r="D75" t="s">
        <v>300</v>
      </c>
      <c r="E75">
        <f>COUNTIF(X2:X5,5)</f>
        <v>2</v>
      </c>
      <c r="F75" t="s">
        <v>301</v>
      </c>
    </row>
    <row r="76" spans="1:6" x14ac:dyDescent="0.3">
      <c r="A76" t="s">
        <v>302</v>
      </c>
      <c r="B76" t="s">
        <v>7</v>
      </c>
      <c r="C76" t="s">
        <v>303</v>
      </c>
      <c r="D76" t="s">
        <v>304</v>
      </c>
      <c r="E76">
        <f>EOMONTH(DATE(2026,1,31),1)</f>
        <v>46081</v>
      </c>
      <c r="F76" t="s">
        <v>305</v>
      </c>
    </row>
    <row r="77" spans="1:6" x14ac:dyDescent="0.3">
      <c r="A77" t="s">
        <v>306</v>
      </c>
      <c r="B77" t="s">
        <v>7</v>
      </c>
      <c r="C77" t="s">
        <v>307</v>
      </c>
      <c r="D77" t="s">
        <v>308</v>
      </c>
      <c r="E77">
        <f>EDATE(DATE(2026,1,31),1)</f>
        <v>46081</v>
      </c>
      <c r="F77" t="s">
        <v>309</v>
      </c>
    </row>
    <row r="78" spans="1:6" x14ac:dyDescent="0.3">
      <c r="A78" t="s">
        <v>310</v>
      </c>
      <c r="B78" t="s">
        <v>7</v>
      </c>
      <c r="C78" t="s">
        <v>311</v>
      </c>
      <c r="D78" t="s">
        <v>312</v>
      </c>
      <c r="E78">
        <f>EOMONTH(DATE(2026,3,15),-2)</f>
        <v>46053</v>
      </c>
      <c r="F78" t="s">
        <v>313</v>
      </c>
    </row>
    <row r="79" spans="1:6" x14ac:dyDescent="0.3">
      <c r="A79" t="s">
        <v>314</v>
      </c>
      <c r="B79" t="s">
        <v>7</v>
      </c>
      <c r="C79" t="s">
        <v>315</v>
      </c>
      <c r="D79" t="s">
        <v>316</v>
      </c>
      <c r="E79" t="e">
        <f ca="1">_xludf.DAYS(DATE(2026,3,1),DATE(2026,2,1))</f>
        <v>#NAME?</v>
      </c>
      <c r="F79" t="s">
        <v>317</v>
      </c>
    </row>
    <row r="80" spans="1:6" x14ac:dyDescent="0.3">
      <c r="A80" t="s">
        <v>318</v>
      </c>
      <c r="B80" t="s">
        <v>7</v>
      </c>
      <c r="C80" t="s">
        <v>319</v>
      </c>
      <c r="D80" t="s">
        <v>320</v>
      </c>
      <c r="E80">
        <f>WEEKDAY(DATE(2026,9,22))</f>
        <v>3</v>
      </c>
      <c r="F80" t="s">
        <v>321</v>
      </c>
    </row>
    <row r="81" spans="1:6" x14ac:dyDescent="0.3">
      <c r="A81" t="s">
        <v>322</v>
      </c>
      <c r="B81" t="s">
        <v>7</v>
      </c>
      <c r="C81" t="s">
        <v>323</v>
      </c>
      <c r="D81" t="s">
        <v>324</v>
      </c>
      <c r="E81">
        <f>WEEKDAY(DATE(2026,9,22),2)</f>
        <v>2</v>
      </c>
      <c r="F81" t="s">
        <v>325</v>
      </c>
    </row>
    <row r="82" spans="1:6" x14ac:dyDescent="0.3">
      <c r="A82" t="s">
        <v>326</v>
      </c>
      <c r="B82" t="s">
        <v>7</v>
      </c>
      <c r="C82" t="s">
        <v>327</v>
      </c>
      <c r="D82" t="s">
        <v>328</v>
      </c>
      <c r="E82">
        <f>DATE(2026,13,1)</f>
        <v>46388</v>
      </c>
      <c r="F82" t="s">
        <v>329</v>
      </c>
    </row>
    <row r="83" spans="1:6" x14ac:dyDescent="0.3">
      <c r="A83" t="s">
        <v>330</v>
      </c>
      <c r="B83" t="s">
        <v>7</v>
      </c>
      <c r="C83" t="s">
        <v>331</v>
      </c>
      <c r="D83" t="s">
        <v>332</v>
      </c>
      <c r="E83">
        <f>DATE(2026,1,0)</f>
        <v>46022</v>
      </c>
      <c r="F83" t="s">
        <v>333</v>
      </c>
    </row>
    <row r="84" spans="1:6" x14ac:dyDescent="0.3">
      <c r="A84" t="s">
        <v>334</v>
      </c>
      <c r="B84" t="s">
        <v>7</v>
      </c>
      <c r="C84" t="s">
        <v>335</v>
      </c>
      <c r="D84" t="s">
        <v>336</v>
      </c>
      <c r="E84">
        <f>DATE(24,1,1)</f>
        <v>8767</v>
      </c>
      <c r="F84" t="s">
        <v>337</v>
      </c>
    </row>
    <row r="85" spans="1:6" x14ac:dyDescent="0.3">
      <c r="A85" t="s">
        <v>338</v>
      </c>
      <c r="B85" t="s">
        <v>7</v>
      </c>
      <c r="C85" t="s">
        <v>339</v>
      </c>
      <c r="D85" t="s">
        <v>340</v>
      </c>
      <c r="E85">
        <f>YEAR(I2)</f>
        <v>2026</v>
      </c>
      <c r="F85" t="s">
        <v>341</v>
      </c>
    </row>
    <row r="86" spans="1:6" x14ac:dyDescent="0.3">
      <c r="A86" t="s">
        <v>342</v>
      </c>
      <c r="B86" t="s">
        <v>7</v>
      </c>
      <c r="C86" t="s">
        <v>343</v>
      </c>
      <c r="D86" t="s">
        <v>344</v>
      </c>
      <c r="E86">
        <f>MONTH(I4)*100+DAY(I4)</f>
        <v>701</v>
      </c>
      <c r="F86" t="s">
        <v>345</v>
      </c>
    </row>
    <row r="87" spans="1:6" x14ac:dyDescent="0.3">
      <c r="A87" t="s">
        <v>346</v>
      </c>
      <c r="B87" t="s">
        <v>7</v>
      </c>
      <c r="C87" t="s">
        <v>347</v>
      </c>
      <c r="D87" t="s">
        <v>348</v>
      </c>
      <c r="E87">
        <f>YEAR(60)*10000+MONTH(60)*100+DAY(60)</f>
        <v>19000229</v>
      </c>
      <c r="F87" t="s">
        <v>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Fidelidad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Alejandro Jaimes Gonzalez</cp:lastModifiedBy>
  <dcterms:created xsi:type="dcterms:W3CDTF">2026-09-22T13:08:53Z</dcterms:created>
  <dcterms:modified xsi:type="dcterms:W3CDTF">2026-09-22T13:47:16Z</dcterms:modified>
</cp:coreProperties>
</file>