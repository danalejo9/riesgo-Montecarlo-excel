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al\Downloads\"/>
    </mc:Choice>
  </mc:AlternateContent>
  <xr:revisionPtr revIDLastSave="0" documentId="11_3A191DB450825CFDD17B62D3525ED87656CD6CC5" xr6:coauthVersionLast="47" xr6:coauthVersionMax="47" xr10:uidLastSave="{00000000-0000-0000-0000-000000000000}"/>
  <bookViews>
    <workbookView xWindow="-7200" yWindow="-19575" windowWidth="34005" windowHeight="18375" xr2:uid="{00000000-000D-0000-FFFF-FFFF00000000}"/>
  </bookViews>
  <sheets>
    <sheet name="Fide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<sst xmlns="http://schemas.openxmlformats.org/spreadsheetml/2006/main" count="361" uniqueCount="291">
  <si>
    <t>id</t>
  </si>
  <si>
    <t>categoria</t>
  </si>
  <si>
    <t>descripcion</t>
  </si>
  <si>
    <t>formula (texto)</t>
  </si>
  <si>
    <t>resultado de Excel</t>
  </si>
  <si>
    <t>notas</t>
  </si>
  <si>
    <t>auxiliares</t>
  </si>
  <si>
    <t>T6-001</t>
  </si>
  <si>
    <t>maxsi</t>
  </si>
  <si>
    <t>Máximo entre las filas del grado 1</t>
  </si>
  <si>
    <t>MAXIFS(H2:H7,I2:I7,1)</t>
  </si>
  <si>
    <t>91 (Microsoft). motor: 91</t>
  </si>
  <si>
    <t>rojo</t>
  </si>
  <si>
    <t>a</t>
  </si>
  <si>
    <t>b</t>
  </si>
  <si>
    <t>c</t>
  </si>
  <si>
    <t>d</t>
  </si>
  <si>
    <t>T6-002</t>
  </si>
  <si>
    <t>Mínimo entre las filas del grado 1</t>
  </si>
  <si>
    <t>MINIFS(H2:H7,I2:I7,1)</t>
  </si>
  <si>
    <t>88 (Microsoft). motor: 88</t>
  </si>
  <si>
    <t>naranja</t>
  </si>
  <si>
    <t>T6-003</t>
  </si>
  <si>
    <t>Sin coincidencias: ¿0 o error?</t>
  </si>
  <si>
    <t>MAXIFS(H2:H7,I2:I7,9)</t>
  </si>
  <si>
    <t>A VERIFICAR. motor: 0</t>
  </si>
  <si>
    <t>amarillo</t>
  </si>
  <si>
    <t>T6-004</t>
  </si>
  <si>
    <t>Dos criterios</t>
  </si>
  <si>
    <t>MAXIFS(H2:H7,I2:I7,"&gt;1",H2:H7,"&lt;95")</t>
  </si>
  <si>
    <t>motor: 93</t>
  </si>
  <si>
    <t>verde</t>
  </si>
  <si>
    <t>T6-005</t>
  </si>
  <si>
    <t>Criterio de distinto</t>
  </si>
  <si>
    <t>MINIFS(H2:H7,I2:I7,"&lt;&gt;2")</t>
  </si>
  <si>
    <t>motor: 85</t>
  </si>
  <si>
    <t>azul</t>
  </si>
  <si>
    <t>T6-006</t>
  </si>
  <si>
    <t>si.conjunto</t>
  </si>
  <si>
    <t>La primera condición cierta gana</t>
  </si>
  <si>
    <t>IFS(H2&gt;90,"A",H2&gt;80,"B",TRUE,"C")</t>
  </si>
  <si>
    <t>motor: "B"</t>
  </si>
  <si>
    <t>T6-007</t>
  </si>
  <si>
    <t>Ninguna condición cierta</t>
  </si>
  <si>
    <t>IFS(H2&gt;95,"A")</t>
  </si>
  <si>
    <t>A VERIFICAR. motor: #N/A</t>
  </si>
  <si>
    <t>T6-008</t>
  </si>
  <si>
    <t>Una condición con error antes de la cierta</t>
  </si>
  <si>
    <t>IFS(1/0&gt;1,"A",TRUE,"B")</t>
  </si>
  <si>
    <t>A VERIFICAR. motor: #DIV/0!</t>
  </si>
  <si>
    <t>T6-009</t>
  </si>
  <si>
    <t>Falso y luego cierto</t>
  </si>
  <si>
    <t>IFS(FALSE,1,TRUE,"x")</t>
  </si>
  <si>
    <t>motor: "x"</t>
  </si>
  <si>
    <t>T6-010</t>
  </si>
  <si>
    <t>cambiar</t>
  </si>
  <si>
    <t>Coincide el segundo valor</t>
  </si>
  <si>
    <t>SWITCH(I3,1,"uno",2,"dos","otro")</t>
  </si>
  <si>
    <t>motor: "dos"</t>
  </si>
  <si>
    <t>T6-011</t>
  </si>
  <si>
    <t>Sin coincidencia, con valor por defecto</t>
  </si>
  <si>
    <t>SWITCH(9,1,"uno","otro")</t>
  </si>
  <si>
    <t>motor: "otro"</t>
  </si>
  <si>
    <t>T6-012</t>
  </si>
  <si>
    <t>Sin coincidencia ni valor por defecto</t>
  </si>
  <si>
    <t>SWITCH(9,1,"uno")</t>
  </si>
  <si>
    <t>T6-013</t>
  </si>
  <si>
    <t>Texto con distintas mayúsculas</t>
  </si>
  <si>
    <t>SWITCH("ABC","abc",1,0)</t>
  </si>
  <si>
    <t>A VERIFICAR. motor: 1</t>
  </si>
  <si>
    <t>T6-014</t>
  </si>
  <si>
    <t>La expresión es un error</t>
  </si>
  <si>
    <t>SWITCH(1/0,1,"a","b")</t>
  </si>
  <si>
    <t>T6-015</t>
  </si>
  <si>
    <t>buscar</t>
  </si>
  <si>
    <t>Coincidencia exacta en el vector</t>
  </si>
  <si>
    <t>LOOKUP(4.19,J2:J6,K2:K6)</t>
  </si>
  <si>
    <t>naranja (Microsoft). motor: "naranja"</t>
  </si>
  <si>
    <t>T6-016</t>
  </si>
  <si>
    <t>Entre dos valores: el menor</t>
  </si>
  <si>
    <t>LOOKUP(5,J2:J6,K2:K6)</t>
  </si>
  <si>
    <t>T6-017</t>
  </si>
  <si>
    <t>Por encima del último</t>
  </si>
  <si>
    <t>LOOKUP(7.66,J2:J6,K2:K6)</t>
  </si>
  <si>
    <t>azul (Microsoft). motor: "azul"</t>
  </si>
  <si>
    <t>T6-018</t>
  </si>
  <si>
    <t>Por debajo del primero</t>
  </si>
  <si>
    <t>LOOKUP(0,J2:J6,K2:K6)</t>
  </si>
  <si>
    <t>#N/A (Microsoft). motor: #N/A</t>
  </si>
  <si>
    <t>T6-019</t>
  </si>
  <si>
    <t>Sin vector de resultado</t>
  </si>
  <si>
    <t>LOOKUP(5,J2:J6)</t>
  </si>
  <si>
    <t>motor: 4,19</t>
  </si>
  <si>
    <t>T6-020</t>
  </si>
  <si>
    <t>Matriz más ancha que alta: busca en la 1.ª fila</t>
  </si>
  <si>
    <t>LOOKUP("c",N2:Q3)</t>
  </si>
  <si>
    <t>3 (Microsoft). motor: 3</t>
  </si>
  <si>
    <t>T6-021</t>
  </si>
  <si>
    <t>Matriz más alta que ancha: busca en la 1.ª columna</t>
  </si>
  <si>
    <t>LOOKUP(5.5,J2:K6)</t>
  </si>
  <si>
    <t>motor: "amarillo"</t>
  </si>
  <si>
    <t>T6-022</t>
  </si>
  <si>
    <t>Lista desordenada</t>
  </si>
  <si>
    <t>LOOKUP(90,H2:H7,I2:I7)</t>
  </si>
  <si>
    <t>A VERIFICAR: Excel busca en binario. motor: 1</t>
  </si>
  <si>
    <t>T6-023</t>
  </si>
  <si>
    <t>dias360</t>
  </si>
  <si>
    <t>Del 30-ene al 31-dic</t>
  </si>
  <si>
    <t>DAYS360(DATE(2011,1,30),DATE(2011,12,31))</t>
  </si>
  <si>
    <t>330 (Microsoft). motor: 330</t>
  </si>
  <si>
    <t>T6-024</t>
  </si>
  <si>
    <t>Del 29-feb bisiesto al 31-mar</t>
  </si>
  <si>
    <t>DAYS360(DATE(2024,2,29),DATE(2024,3,31))</t>
  </si>
  <si>
    <t>A VERIFICAR. motor: 30</t>
  </si>
  <si>
    <t>T6-025</t>
  </si>
  <si>
    <t>Del 31-ene al 29-feb bisiesto</t>
  </si>
  <si>
    <t>DAYS360(DATE(2024,1,31),DATE(2024,2,29))</t>
  </si>
  <si>
    <t>A VERIFICAR. motor: 29</t>
  </si>
  <si>
    <t>T6-026</t>
  </si>
  <si>
    <t>Del 28-feb bisiesto (no es fin de mes) al 31-mar</t>
  </si>
  <si>
    <t>DAYS360(DATE(2024,2,28),DATE(2024,3,31))</t>
  </si>
  <si>
    <t>A VERIFICAR. motor: 33</t>
  </si>
  <si>
    <t>T6-027</t>
  </si>
  <si>
    <t>Del 28-feb no bisiesto (fin de mes) al 31-mar</t>
  </si>
  <si>
    <t>DAYS360(DATE(2023,2,28),DATE(2023,3,31))</t>
  </si>
  <si>
    <t>T6-028</t>
  </si>
  <si>
    <t>Del 29-feb al 28-feb siguiente (dos fines de febrero)</t>
  </si>
  <si>
    <t>DAYS360(DATE(2024,2,29),DATE(2025,2,28))</t>
  </si>
  <si>
    <t>A VERIFICAR. motor: 358</t>
  </si>
  <si>
    <t>T6-029</t>
  </si>
  <si>
    <t>Europeo: del 31-ene al 31-mar</t>
  </si>
  <si>
    <t>DAYS360(DATE(2024,1,31),DATE(2024,3,31),TRUE)</t>
  </si>
  <si>
    <t>motor: 60</t>
  </si>
  <si>
    <t>T6-030</t>
  </si>
  <si>
    <t>Europeo: del 29-feb al 31-mar</t>
  </si>
  <si>
    <t>DAYS360(DATE(2024,2,29),DATE(2024,3,31),TRUE)</t>
  </si>
  <si>
    <t>A VERIFICAR. motor: 31</t>
  </si>
  <si>
    <t>T6-031</t>
  </si>
  <si>
    <t>Fin anterior al inicio</t>
  </si>
  <si>
    <t>DAYS360(DATE(2024,3,31),DATE(2024,1,15))</t>
  </si>
  <si>
    <t>motor: -75</t>
  </si>
  <si>
    <t>T6-032</t>
  </si>
  <si>
    <t>frac.año</t>
  </si>
  <si>
    <t>Base 0 (30/360 EE. UU.)</t>
  </si>
  <si>
    <t>YEARFRAC(DATE(2012,1,1),DATE(2012,7,30))</t>
  </si>
  <si>
    <t>0,58055556 (Microsoft). motor: 0,580555555556</t>
  </si>
  <si>
    <t>T6-033</t>
  </si>
  <si>
    <t>Base 1 (real/real)</t>
  </si>
  <si>
    <t>YEARFRAC(DATE(2012,1,1),DATE(2012,7,30),1)</t>
  </si>
  <si>
    <t>0,57650273 (Microsoft). motor: 0,57650273224</t>
  </si>
  <si>
    <t>T6-034</t>
  </si>
  <si>
    <t>Base 2 (real/360)</t>
  </si>
  <si>
    <t>YEARFRAC(DATE(2012,1,1),DATE(2012,7,30),2)</t>
  </si>
  <si>
    <t>motor: 0,586111111111</t>
  </si>
  <si>
    <t>T6-035</t>
  </si>
  <si>
    <t>Base 3 (real/365)</t>
  </si>
  <si>
    <t>YEARFRAC(DATE(2012,1,1),DATE(2012,7,30),3)</t>
  </si>
  <si>
    <t>0,57808219 (Microsoft). motor: 0,578082191781</t>
  </si>
  <si>
    <t>T6-036</t>
  </si>
  <si>
    <t>Base 4 (30/360 europeo)</t>
  </si>
  <si>
    <t>YEARFRAC(DATE(2012,1,31),DATE(2012,7,31),4)</t>
  </si>
  <si>
    <t>motor: 0,5</t>
  </si>
  <si>
    <t>T6-037</t>
  </si>
  <si>
    <t>Base 1 atravesando varios años</t>
  </si>
  <si>
    <t>YEARFRAC(DATE(2023,6,15),DATE(2025,3,1),1)</t>
  </si>
  <si>
    <t>A VERIFICAR. motor: 1,71076642336</t>
  </si>
  <si>
    <t>T6-038</t>
  </si>
  <si>
    <t>Base 0 de fin de febrero a fin de febrero</t>
  </si>
  <si>
    <t>YEARFRAC(DATE(2024,2,29),DATE(2025,2,28),0)</t>
  </si>
  <si>
    <t>T6-039</t>
  </si>
  <si>
    <t>Base 1 dentro de un año bisiesto</t>
  </si>
  <si>
    <t>YEARFRAC(DATE(2024,1,1),DATE(2024,12,31),1)</t>
  </si>
  <si>
    <t>A VERIFICAR. motor: 0,997267759563</t>
  </si>
  <si>
    <t>T6-040</t>
  </si>
  <si>
    <t>Base 1 de un 1-mar a otro que cruza un 29-feb</t>
  </si>
  <si>
    <t>YEARFRAC(DATE(2023,3,1),DATE(2024,3,1),1)</t>
  </si>
  <si>
    <t>T6-041</t>
  </si>
  <si>
    <t>Fechas al revés: sale positivo</t>
  </si>
  <si>
    <t>YEARFRAC(DATE(2012,7,30),DATE(2012,1,1))</t>
  </si>
  <si>
    <t>motor: 0,580555555556</t>
  </si>
  <si>
    <t>T6-042</t>
  </si>
  <si>
    <t>Base inválida</t>
  </si>
  <si>
    <t>YEARFRAC(DATE(2012,1,1),DATE(2012,7,30),5)</t>
  </si>
  <si>
    <t>motor: #NUM!</t>
  </si>
  <si>
    <t>T6-043</t>
  </si>
  <si>
    <t>sifecha</t>
  </si>
  <si>
    <t>Años completos</t>
  </si>
  <si>
    <t>DATEDIF(DATE(2001,1,1),DATE(2003,1,1),"Y")</t>
  </si>
  <si>
    <t>2 (Microsoft). motor: 2</t>
  </si>
  <si>
    <t>T6-044</t>
  </si>
  <si>
    <t>Días</t>
  </si>
  <si>
    <t>DATEDIF(DATE(2001,6,1),DATE(2002,8,15),"D")</t>
  </si>
  <si>
    <t>440 (Microsoft). motor: 440</t>
  </si>
  <si>
    <t>T6-045</t>
  </si>
  <si>
    <t>Días sin contar los años</t>
  </si>
  <si>
    <t>DATEDIF(DATE(2001,6,1),DATE(2002,8,15),"YD")</t>
  </si>
  <si>
    <t>75 (Microsoft). motor: 75</t>
  </si>
  <si>
    <t>T6-046</t>
  </si>
  <si>
    <t>Meses completos desde un 31</t>
  </si>
  <si>
    <t>DATEDIF(DATE(2024,1,31),DATE(2024,3,30),"M")</t>
  </si>
  <si>
    <t>T6-047</t>
  </si>
  <si>
    <t>MD desde un 31 (Microsoft avisa de que falla)</t>
  </si>
  <si>
    <t>DATEDIF(DATE(2024,1,31),DATE(2024,3,1),"MD")</t>
  </si>
  <si>
    <t>A VERIFICAR. motor: -1</t>
  </si>
  <si>
    <t>T6-048</t>
  </si>
  <si>
    <t>Meses sin contar los años</t>
  </si>
  <si>
    <t>DATEDIF(DATE(2024,1,15),DATE(2025,3,20),"YM")</t>
  </si>
  <si>
    <t>motor: 2</t>
  </si>
  <si>
    <t>T6-049</t>
  </si>
  <si>
    <t>Inicio posterior al fin</t>
  </si>
  <si>
    <t>DATEDIF(DATE(2003,1,1),DATE(2001,1,1),"Y")</t>
  </si>
  <si>
    <t>#NUM! (Microsoft). motor: #NUM!</t>
  </si>
  <si>
    <t>T6-050</t>
  </si>
  <si>
    <t>Unidad en minúsculas</t>
  </si>
  <si>
    <t>DATEDIF(DATE(2001,1,1),DATE(2003,1,1),"y")</t>
  </si>
  <si>
    <t>A VERIFICAR. motor: 2</t>
  </si>
  <si>
    <t>T6-051</t>
  </si>
  <si>
    <t>dias.lab</t>
  </si>
  <si>
    <t>Laborables de oct-2012 a mar-2013</t>
  </si>
  <si>
    <t>NETWORKDAYS(DATE(2012,10,1),DATE(2013,3,1))</t>
  </si>
  <si>
    <t>110 (Microsoft). motor: 110</t>
  </si>
  <si>
    <t>T6-052</t>
  </si>
  <si>
    <t>Los mismos, con tres festivos</t>
  </si>
  <si>
    <t>NETWORKDAYS(DATE(2012,10,1),DATE(2013,3,1),L2:L4)</t>
  </si>
  <si>
    <t>107 (Microsoft). motor: 107</t>
  </si>
  <si>
    <t>T6-053</t>
  </si>
  <si>
    <t>Fechas al revés</t>
  </si>
  <si>
    <t>NETWORKDAYS(DATE(2013,3,1),DATE(2012,10,1))</t>
  </si>
  <si>
    <t>A VERIFICAR. motor: -110</t>
  </si>
  <si>
    <t>T6-054</t>
  </si>
  <si>
    <t>Un sábado consigo mismo</t>
  </si>
  <si>
    <t>NETWORKDAYS(DATE(2026,9,26),DATE(2026,9,26))</t>
  </si>
  <si>
    <t>motor: 0</t>
  </si>
  <si>
    <t>T6-055</t>
  </si>
  <si>
    <t>dia.lab</t>
  </si>
  <si>
    <t>151 laborables desde el 1-oct-2008</t>
  </si>
  <si>
    <t>WORKDAY(DATE(2008,10,1),151)</t>
  </si>
  <si>
    <t>39933 (Microsoft). motor: 39933</t>
  </si>
  <si>
    <t>T6-056</t>
  </si>
  <si>
    <t>Cinco laborables saltando un festivo</t>
  </si>
  <si>
    <t>WORKDAY(DATE(2012,11,20),5,L2:L4)</t>
  </si>
  <si>
    <t>motor: 41241</t>
  </si>
  <si>
    <t>T6-057</t>
  </si>
  <si>
    <t>Un laborable hacia atrás desde un lunes</t>
  </si>
  <si>
    <t>WORKDAY(DATE(2024,2,5),-1)</t>
  </si>
  <si>
    <t>motor: 45324</t>
  </si>
  <si>
    <t>T6-058</t>
  </si>
  <si>
    <t>Un laborable desde un sábado</t>
  </si>
  <si>
    <t>WORKDAY(DATE(2026,9,26),1)</t>
  </si>
  <si>
    <t>motor: 46293</t>
  </si>
  <si>
    <t>T6-059</t>
  </si>
  <si>
    <t>Cero laborables desde un sábado</t>
  </si>
  <si>
    <t>WORKDAY(DATE(2026,9,26),0)</t>
  </si>
  <si>
    <t>A VERIFICAR. motor: 46291</t>
  </si>
  <si>
    <t>T6-060</t>
  </si>
  <si>
    <t>fechanumero</t>
  </si>
  <si>
    <t>Formato ISO</t>
  </si>
  <si>
    <t>DATEVALUE("2011-08-22")</t>
  </si>
  <si>
    <t>motor: 40777</t>
  </si>
  <si>
    <t>T6-061</t>
  </si>
  <si>
    <t>Día/mes/año en español</t>
  </si>
  <si>
    <t>DATEVALUE("22/8/2011")</t>
  </si>
  <si>
    <t>T6-062</t>
  </si>
  <si>
    <t>Año con dos cifras</t>
  </si>
  <si>
    <t>DATEVALUE("22/8/11")</t>
  </si>
  <si>
    <t>A VERIFICAR. motor: 40777</t>
  </si>
  <si>
    <t>T6-063</t>
  </si>
  <si>
    <t>Mes abreviado en español</t>
  </si>
  <si>
    <t>DATEVALUE("22-ago-2011")</t>
  </si>
  <si>
    <t>T6-064</t>
  </si>
  <si>
    <t>Mes con nombre completo</t>
  </si>
  <si>
    <t>DATEVALUE("22 agosto 2011")</t>
  </si>
  <si>
    <t>T6-065</t>
  </si>
  <si>
    <t>Un 31 de febrero</t>
  </si>
  <si>
    <t>DATEVALUE("31/2/2024")</t>
  </si>
  <si>
    <t>A VERIFICAR. motor: #VALUE!</t>
  </si>
  <si>
    <t>T6-066</t>
  </si>
  <si>
    <t>Un texto que no es fecha</t>
  </si>
  <si>
    <t>DATEVALUE("mañana")</t>
  </si>
  <si>
    <t>motor: #VALUE!</t>
  </si>
  <si>
    <t>T6-067</t>
  </si>
  <si>
    <t>Con la hora detrás</t>
  </si>
  <si>
    <t>DATEVALUE("22/8/2011 18:30")</t>
  </si>
  <si>
    <t>T6-068</t>
  </si>
  <si>
    <t>texto</t>
  </si>
  <si>
    <t>Letras sin escapar en el formato</t>
  </si>
  <si>
    <t>TEXT(5,"0 kg")</t>
  </si>
  <si>
    <t>T6-069</t>
  </si>
  <si>
    <t>Las mismas letras escapadas</t>
  </si>
  <si>
    <t>TEXT(5,"0 \k\g")</t>
  </si>
  <si>
    <t>motor: "5 kg"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</si>
</sst>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A31" workbookViewId="0">
      <selection activeCell="E2" sqref="E2"/>
    </sheetView>
  </sheetViews>
  <sheetFormatPr baseColWidth="10" defaultColWidth="8.88671875" defaultRowHeight="14.4" x14ac:dyDescent="0.3"/>
  <cols>
    <col min="1" max="1" width="9" customWidth="1"/>
    <col min="2" max="2" width="12" customWidth="1"/>
    <col min="3" max="4" width="52" customWidth="1"/>
    <col min="5" max="5" width="20" customWidth="1"/>
    <col min="6" max="6" width="4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17" x14ac:dyDescent="0.3">
      <c r="A2" t="s">
        <v>7</v>
      </c>
      <c r="B2" t="s">
        <v>8</v>
      </c>
      <c r="C2" t="s">
        <v>9</v>
      </c>
      <c r="D2" t="s">
        <v>10</v>
      </c>
      <c r="E2">
        <f>_xlfn.MAXIFS(H2:H7,I2:I7,1)</f>
        <v>91</v>
      </c>
      <c r="F2" t="s">
        <v>11</v>
      </c>
      <c r="H2">
        <v>89</v>
      </c>
      <c r="I2">
        <v>1</v>
      </c>
      <c r="J2">
        <v>4.1399999999999997</v>
      </c>
      <c r="K2" t="s">
        <v>12</v>
      </c>
      <c r="L2">
        <v>41235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3">
      <c r="A3" t="s">
        <v>17</v>
      </c>
      <c r="B3" t="s">
        <v>8</v>
      </c>
      <c r="C3" t="s">
        <v>18</v>
      </c>
      <c r="D3" t="s">
        <v>19</v>
      </c>
      <c r="E3">
        <f>_xlfn.MINIFS(H2:H7,I2:I7,1)</f>
        <v>88</v>
      </c>
      <c r="F3" t="s">
        <v>20</v>
      </c>
      <c r="H3">
        <v>93</v>
      </c>
      <c r="I3">
        <v>2</v>
      </c>
      <c r="J3">
        <v>4.1900000000000004</v>
      </c>
      <c r="K3" t="s">
        <v>21</v>
      </c>
      <c r="L3">
        <v>41247</v>
      </c>
      <c r="N3">
        <v>1</v>
      </c>
      <c r="O3">
        <v>2</v>
      </c>
      <c r="P3">
        <v>3</v>
      </c>
      <c r="Q3">
        <v>4</v>
      </c>
    </row>
    <row r="4" spans="1:17" x14ac:dyDescent="0.3">
      <c r="A4" t="s">
        <v>22</v>
      </c>
      <c r="B4" t="s">
        <v>8</v>
      </c>
      <c r="C4" t="s">
        <v>23</v>
      </c>
      <c r="D4" t="s">
        <v>24</v>
      </c>
      <c r="E4">
        <f>_xlfn.MAXIFS(H2:H7,I2:I7,9)</f>
        <v>0</v>
      </c>
      <c r="F4" t="s">
        <v>25</v>
      </c>
      <c r="H4">
        <v>96</v>
      </c>
      <c r="I4">
        <v>2</v>
      </c>
      <c r="J4">
        <v>5.17</v>
      </c>
      <c r="K4" t="s">
        <v>26</v>
      </c>
      <c r="L4">
        <v>41295</v>
      </c>
    </row>
    <row r="5" spans="1:17" x14ac:dyDescent="0.3">
      <c r="A5" t="s">
        <v>27</v>
      </c>
      <c r="B5" t="s">
        <v>8</v>
      </c>
      <c r="C5" t="s">
        <v>28</v>
      </c>
      <c r="D5" t="s">
        <v>29</v>
      </c>
      <c r="E5">
        <f>_xlfn.MAXIFS(H2:H7,I2:I7,"&gt;1",H2:H7,"&lt;95")</f>
        <v>93</v>
      </c>
      <c r="F5" t="s">
        <v>30</v>
      </c>
      <c r="H5">
        <v>85</v>
      </c>
      <c r="I5">
        <v>3</v>
      </c>
      <c r="J5">
        <v>5.77</v>
      </c>
      <c r="K5" t="s">
        <v>31</v>
      </c>
    </row>
    <row r="6" spans="1:17" x14ac:dyDescent="0.3">
      <c r="A6" t="s">
        <v>32</v>
      </c>
      <c r="B6" t="s">
        <v>8</v>
      </c>
      <c r="C6" t="s">
        <v>33</v>
      </c>
      <c r="D6" t="s">
        <v>34</v>
      </c>
      <c r="E6">
        <f>_xlfn.MINIFS(H2:H7,I2:I7,"&lt;&gt;2")</f>
        <v>85</v>
      </c>
      <c r="F6" t="s">
        <v>35</v>
      </c>
      <c r="H6">
        <v>91</v>
      </c>
      <c r="I6">
        <v>1</v>
      </c>
      <c r="J6">
        <v>6.39</v>
      </c>
      <c r="K6" t="s">
        <v>36</v>
      </c>
    </row>
    <row r="7" spans="1:17" x14ac:dyDescent="0.3">
      <c r="A7" t="s">
        <v>37</v>
      </c>
      <c r="B7" t="s">
        <v>38</v>
      </c>
      <c r="C7" t="s">
        <v>39</v>
      </c>
      <c r="D7" t="s">
        <v>40</v>
      </c>
      <c r="E7" t="str">
        <f>_xlfn.IFS(H2&gt;90,"A",H2&gt;80,"B",TRUE,"C")</f>
        <v>B</v>
      </c>
      <c r="F7" t="s">
        <v>41</v>
      </c>
      <c r="H7">
        <v>88</v>
      </c>
      <c r="I7">
        <v>1</v>
      </c>
    </row>
    <row r="8" spans="1:17" x14ac:dyDescent="0.3">
      <c r="A8" t="s">
        <v>42</v>
      </c>
      <c r="B8" t="s">
        <v>38</v>
      </c>
      <c r="C8" t="s">
        <v>43</v>
      </c>
      <c r="D8" t="s">
        <v>44</v>
      </c>
      <c r="E8" t="e">
        <f>_xlfn.IFS(H2&gt;95,"A")</f>
        <v>#N/A</v>
      </c>
      <c r="F8" t="s">
        <v>45</v>
      </c>
    </row>
    <row r="9" spans="1:17" x14ac:dyDescent="0.3">
      <c r="A9" t="s">
        <v>46</v>
      </c>
      <c r="B9" t="s">
        <v>38</v>
      </c>
      <c r="C9" t="s">
        <v>47</v>
      </c>
      <c r="D9" t="s">
        <v>48</v>
      </c>
      <c r="E9" t="e">
        <f>_xlfn.IFS(1/0&gt;1,"A",TRUE,"B")</f>
        <v>#DIV/0!</v>
      </c>
      <c r="F9" t="s">
        <v>49</v>
      </c>
    </row>
    <row r="10" spans="1:17" x14ac:dyDescent="0.3">
      <c r="A10" t="s">
        <v>50</v>
      </c>
      <c r="B10" t="s">
        <v>38</v>
      </c>
      <c r="C10" t="s">
        <v>51</v>
      </c>
      <c r="D10" t="s">
        <v>52</v>
      </c>
      <c r="E10" t="str">
        <f>_xlfn.IFS(FALSE,1,TRUE,"x")</f>
        <v>x</v>
      </c>
      <c r="F10" t="s">
        <v>53</v>
      </c>
    </row>
    <row r="11" spans="1:17" x14ac:dyDescent="0.3">
      <c r="A11" t="s">
        <v>54</v>
      </c>
      <c r="B11" t="s">
        <v>55</v>
      </c>
      <c r="C11" t="s">
        <v>56</v>
      </c>
      <c r="D11" t="s">
        <v>57</v>
      </c>
      <c r="E11" t="str">
        <f>_xlfn.SWITCH(I3,1,"uno",2,"dos","otro")</f>
        <v>dos</v>
      </c>
      <c r="F11" t="s">
        <v>58</v>
      </c>
    </row>
    <row r="12" spans="1:17" x14ac:dyDescent="0.3">
      <c r="A12" t="s">
        <v>59</v>
      </c>
      <c r="B12" t="s">
        <v>55</v>
      </c>
      <c r="C12" t="s">
        <v>60</v>
      </c>
      <c r="D12" t="s">
        <v>61</v>
      </c>
      <c r="E12" t="str">
        <f>_xlfn.SWITCH(9,1,"uno","otro")</f>
        <v>otro</v>
      </c>
      <c r="F12" t="s">
        <v>62</v>
      </c>
    </row>
    <row r="13" spans="1:17" x14ac:dyDescent="0.3">
      <c r="A13" t="s">
        <v>63</v>
      </c>
      <c r="B13" t="s">
        <v>55</v>
      </c>
      <c r="C13" t="s">
        <v>64</v>
      </c>
      <c r="D13" t="s">
        <v>65</v>
      </c>
      <c r="E13" t="e">
        <f>_xlfn.SWITCH(9,1,"uno")</f>
        <v>#N/A</v>
      </c>
      <c r="F13" t="s">
        <v>45</v>
      </c>
    </row>
    <row r="14" spans="1:17" x14ac:dyDescent="0.3">
      <c r="A14" t="s">
        <v>66</v>
      </c>
      <c r="B14" t="s">
        <v>55</v>
      </c>
      <c r="C14" t="s">
        <v>67</v>
      </c>
      <c r="D14" t="s">
        <v>68</v>
      </c>
      <c r="E14">
        <f>_xlfn.SWITCH("ABC","abc",1,0)</f>
        <v>1</v>
      </c>
      <c r="F14" t="s">
        <v>69</v>
      </c>
    </row>
    <row r="15" spans="1:17" x14ac:dyDescent="0.3">
      <c r="A15" t="s">
        <v>70</v>
      </c>
      <c r="B15" t="s">
        <v>55</v>
      </c>
      <c r="C15" t="s">
        <v>71</v>
      </c>
      <c r="D15" t="s">
        <v>72</v>
      </c>
      <c r="E15" t="e">
        <f>_xlfn.SWITCH(1/0,1,"a","b")</f>
        <v>#DIV/0!</v>
      </c>
      <c r="F15" t="s">
        <v>49</v>
      </c>
    </row>
    <row r="16" spans="1:17" x14ac:dyDescent="0.3">
      <c r="A16" t="s">
        <v>73</v>
      </c>
      <c r="B16" t="s">
        <v>74</v>
      </c>
      <c r="C16" t="s">
        <v>75</v>
      </c>
      <c r="D16" t="s">
        <v>76</v>
      </c>
      <c r="E16" t="str">
        <f>LOOKUP(4.19,J2:J6,K2:K6)</f>
        <v>naranja</v>
      </c>
      <c r="F16" t="s">
        <v>77</v>
      </c>
    </row>
    <row r="17" spans="1:6" x14ac:dyDescent="0.3">
      <c r="A17" t="s">
        <v>78</v>
      </c>
      <c r="B17" t="s">
        <v>74</v>
      </c>
      <c r="C17" t="s">
        <v>79</v>
      </c>
      <c r="D17" t="s">
        <v>80</v>
      </c>
      <c r="E17" t="str">
        <f>LOOKUP(5,J2:J6,K2:K6)</f>
        <v>naranja</v>
      </c>
      <c r="F17" t="s">
        <v>77</v>
      </c>
    </row>
    <row r="18" spans="1:6" x14ac:dyDescent="0.3">
      <c r="A18" t="s">
        <v>81</v>
      </c>
      <c r="B18" t="s">
        <v>74</v>
      </c>
      <c r="C18" t="s">
        <v>82</v>
      </c>
      <c r="D18" t="s">
        <v>83</v>
      </c>
      <c r="E18" t="str">
        <f>LOOKUP(7.66,J2:J6,K2:K6)</f>
        <v>azul</v>
      </c>
      <c r="F18" t="s">
        <v>84</v>
      </c>
    </row>
    <row r="19" spans="1:6" x14ac:dyDescent="0.3">
      <c r="A19" t="s">
        <v>85</v>
      </c>
      <c r="B19" t="s">
        <v>74</v>
      </c>
      <c r="C19" t="s">
        <v>86</v>
      </c>
      <c r="D19" t="s">
        <v>87</v>
      </c>
      <c r="E19" t="e">
        <f>LOOKUP(0,J2:J6,K2:K6)</f>
        <v>#N/A</v>
      </c>
      <c r="F19" t="s">
        <v>88</v>
      </c>
    </row>
    <row r="20" spans="1:6" x14ac:dyDescent="0.3">
      <c r="A20" t="s">
        <v>89</v>
      </c>
      <c r="B20" t="s">
        <v>74</v>
      </c>
      <c r="C20" t="s">
        <v>90</v>
      </c>
      <c r="D20" t="s">
        <v>91</v>
      </c>
      <c r="E20">
        <f>LOOKUP(5,J2:J6)</f>
        <v>4.1900000000000004</v>
      </c>
      <c r="F20" t="s">
        <v>92</v>
      </c>
    </row>
    <row r="21" spans="1:6" x14ac:dyDescent="0.3">
      <c r="A21" t="s">
        <v>93</v>
      </c>
      <c r="B21" t="s">
        <v>74</v>
      </c>
      <c r="C21" t="s">
        <v>94</v>
      </c>
      <c r="D21" t="s">
        <v>95</v>
      </c>
      <c r="E21">
        <f>LOOKUP("c",N2:Q3)</f>
        <v>3</v>
      </c>
      <c r="F21" t="s">
        <v>96</v>
      </c>
    </row>
    <row r="22" spans="1:6" x14ac:dyDescent="0.3">
      <c r="A22" t="s">
        <v>97</v>
      </c>
      <c r="B22" t="s">
        <v>74</v>
      </c>
      <c r="C22" t="s">
        <v>98</v>
      </c>
      <c r="D22" t="s">
        <v>99</v>
      </c>
      <c r="E22" t="str">
        <f>LOOKUP(5.5,J2:K6)</f>
        <v>amarillo</v>
      </c>
      <c r="F22" t="s">
        <v>100</v>
      </c>
    </row>
    <row r="23" spans="1:6" x14ac:dyDescent="0.3">
      <c r="A23" t="s">
        <v>101</v>
      </c>
      <c r="B23" t="s">
        <v>74</v>
      </c>
      <c r="C23" t="s">
        <v>102</v>
      </c>
      <c r="D23" t="s">
        <v>103</v>
      </c>
      <c r="E23">
        <f>LOOKUP(90,H2:H7,I2:I7)</f>
        <v>1</v>
      </c>
      <c r="F23" t="s">
        <v>104</v>
      </c>
    </row>
    <row r="24" spans="1:6" x14ac:dyDescent="0.3">
      <c r="A24" t="s">
        <v>105</v>
      </c>
      <c r="B24" t="s">
        <v>106</v>
      </c>
      <c r="C24" t="s">
        <v>107</v>
      </c>
      <c r="D24" t="s">
        <v>108</v>
      </c>
      <c r="E24">
        <f>DAYS360(DATE(2011,1,30),DATE(2011,12,31))</f>
        <v>330</v>
      </c>
      <c r="F24" t="s">
        <v>109</v>
      </c>
    </row>
    <row r="25" spans="1:6" x14ac:dyDescent="0.3">
      <c r="A25" t="s">
        <v>110</v>
      </c>
      <c r="B25" t="s">
        <v>106</v>
      </c>
      <c r="C25" t="s">
        <v>111</v>
      </c>
      <c r="D25" t="s">
        <v>112</v>
      </c>
      <c r="E25">
        <f>DAYS360(DATE(2024,2,29),DATE(2024,3,31))</f>
        <v>30</v>
      </c>
      <c r="F25" t="s">
        <v>113</v>
      </c>
    </row>
    <row r="26" spans="1:6" x14ac:dyDescent="0.3">
      <c r="A26" t="s">
        <v>114</v>
      </c>
      <c r="B26" t="s">
        <v>106</v>
      </c>
      <c r="C26" t="s">
        <v>115</v>
      </c>
      <c r="D26" t="s">
        <v>116</v>
      </c>
      <c r="E26">
        <f>DAYS360(DATE(2024,1,31),DATE(2024,2,29))</f>
        <v>29</v>
      </c>
      <c r="F26" t="s">
        <v>117</v>
      </c>
    </row>
    <row r="27" spans="1:6" x14ac:dyDescent="0.3">
      <c r="A27" t="s">
        <v>118</v>
      </c>
      <c r="B27" t="s">
        <v>106</v>
      </c>
      <c r="C27" t="s">
        <v>119</v>
      </c>
      <c r="D27" t="s">
        <v>120</v>
      </c>
      <c r="E27">
        <f>DAYS360(DATE(2024,2,28),DATE(2024,3,31))</f>
        <v>33</v>
      </c>
      <c r="F27" t="s">
        <v>121</v>
      </c>
    </row>
    <row r="28" spans="1:6" x14ac:dyDescent="0.3">
      <c r="A28" t="s">
        <v>122</v>
      </c>
      <c r="B28" t="s">
        <v>106</v>
      </c>
      <c r="C28" t="s">
        <v>123</v>
      </c>
      <c r="D28" t="s">
        <v>124</v>
      </c>
      <c r="E28">
        <f>DAYS360(DATE(2023,2,28),DATE(2023,3,31))</f>
        <v>30</v>
      </c>
      <c r="F28" t="s">
        <v>113</v>
      </c>
    </row>
    <row r="29" spans="1:6" x14ac:dyDescent="0.3">
      <c r="A29" t="s">
        <v>125</v>
      </c>
      <c r="B29" t="s">
        <v>106</v>
      </c>
      <c r="C29" t="s">
        <v>126</v>
      </c>
      <c r="D29" t="s">
        <v>127</v>
      </c>
      <c r="E29">
        <f>DAYS360(DATE(2024,2,29),DATE(2025,2,28))</f>
        <v>358</v>
      </c>
      <c r="F29" t="s">
        <v>128</v>
      </c>
    </row>
    <row r="30" spans="1:6" x14ac:dyDescent="0.3">
      <c r="A30" t="s">
        <v>129</v>
      </c>
      <c r="B30" t="s">
        <v>106</v>
      </c>
      <c r="C30" t="s">
        <v>130</v>
      </c>
      <c r="D30" t="s">
        <v>131</v>
      </c>
      <c r="E30">
        <f>DAYS360(DATE(2024,1,31),DATE(2024,3,31),TRUE)</f>
        <v>60</v>
      </c>
      <c r="F30" t="s">
        <v>132</v>
      </c>
    </row>
    <row r="31" spans="1:6" x14ac:dyDescent="0.3">
      <c r="A31" t="s">
        <v>133</v>
      </c>
      <c r="B31" t="s">
        <v>106</v>
      </c>
      <c r="C31" t="s">
        <v>134</v>
      </c>
      <c r="D31" t="s">
        <v>135</v>
      </c>
      <c r="E31">
        <f>DAYS360(DATE(2024,2,29),DATE(2024,3,31),TRUE)</f>
        <v>31</v>
      </c>
      <c r="F31" t="s">
        <v>136</v>
      </c>
    </row>
    <row r="32" spans="1:6" x14ac:dyDescent="0.3">
      <c r="A32" t="s">
        <v>137</v>
      </c>
      <c r="B32" t="s">
        <v>106</v>
      </c>
      <c r="C32" t="s">
        <v>138</v>
      </c>
      <c r="D32" t="s">
        <v>139</v>
      </c>
      <c r="E32">
        <f>DAYS360(DATE(2024,3,31),DATE(2024,1,15))</f>
        <v>-75</v>
      </c>
      <c r="F32" t="s">
        <v>140</v>
      </c>
    </row>
    <row r="33" spans="1:6" x14ac:dyDescent="0.3">
      <c r="A33" t="s">
        <v>141</v>
      </c>
      <c r="B33" t="s">
        <v>142</v>
      </c>
      <c r="C33" t="s">
        <v>143</v>
      </c>
      <c r="D33" t="s">
        <v>144</v>
      </c>
      <c r="E33">
        <f>YEARFRAC(DATE(2012,1,1),DATE(2012,7,30))</f>
        <v>0.5805555555555556</v>
      </c>
      <c r="F33" t="s">
        <v>145</v>
      </c>
    </row>
    <row r="34" spans="1:6" x14ac:dyDescent="0.3">
      <c r="A34" t="s">
        <v>146</v>
      </c>
      <c r="B34" t="s">
        <v>142</v>
      </c>
      <c r="C34" t="s">
        <v>147</v>
      </c>
      <c r="D34" t="s">
        <v>148</v>
      </c>
      <c r="E34">
        <f>YEARFRAC(DATE(2012,1,1),DATE(2012,7,30),1)</f>
        <v>0.57650273224043713</v>
      </c>
      <c r="F34" t="s">
        <v>149</v>
      </c>
    </row>
    <row r="35" spans="1:6" x14ac:dyDescent="0.3">
      <c r="A35" t="s">
        <v>150</v>
      </c>
      <c r="B35" t="s">
        <v>142</v>
      </c>
      <c r="C35" t="s">
        <v>151</v>
      </c>
      <c r="D35" t="s">
        <v>152</v>
      </c>
      <c r="E35">
        <f>YEARFRAC(DATE(2012,1,1),DATE(2012,7,30),2)</f>
        <v>0.58611111111111114</v>
      </c>
      <c r="F35" t="s">
        <v>153</v>
      </c>
    </row>
    <row r="36" spans="1:6" x14ac:dyDescent="0.3">
      <c r="A36" t="s">
        <v>154</v>
      </c>
      <c r="B36" t="s">
        <v>142</v>
      </c>
      <c r="C36" t="s">
        <v>155</v>
      </c>
      <c r="D36" t="s">
        <v>156</v>
      </c>
      <c r="E36">
        <f>YEARFRAC(DATE(2012,1,1),DATE(2012,7,30),3)</f>
        <v>0.57808219178082187</v>
      </c>
      <c r="F36" t="s">
        <v>157</v>
      </c>
    </row>
    <row r="37" spans="1:6" x14ac:dyDescent="0.3">
      <c r="A37" t="s">
        <v>158</v>
      </c>
      <c r="B37" t="s">
        <v>142</v>
      </c>
      <c r="C37" t="s">
        <v>159</v>
      </c>
      <c r="D37" t="s">
        <v>160</v>
      </c>
      <c r="E37">
        <f>YEARFRAC(DATE(2012,1,31),DATE(2012,7,31),4)</f>
        <v>0.5</v>
      </c>
      <c r="F37" t="s">
        <v>161</v>
      </c>
    </row>
    <row r="38" spans="1:6" x14ac:dyDescent="0.3">
      <c r="A38" t="s">
        <v>162</v>
      </c>
      <c r="B38" t="s">
        <v>142</v>
      </c>
      <c r="C38" t="s">
        <v>163</v>
      </c>
      <c r="D38" t="s">
        <v>164</v>
      </c>
      <c r="E38">
        <f>YEARFRAC(DATE(2023,6,15),DATE(2025,3,1),1)</f>
        <v>1.7107664233576643</v>
      </c>
      <c r="F38" t="s">
        <v>165</v>
      </c>
    </row>
    <row r="39" spans="1:6" x14ac:dyDescent="0.3">
      <c r="A39" t="s">
        <v>166</v>
      </c>
      <c r="B39" t="s">
        <v>142</v>
      </c>
      <c r="C39" t="s">
        <v>167</v>
      </c>
      <c r="D39" t="s">
        <v>168</v>
      </c>
      <c r="E39">
        <f>YEARFRAC(DATE(2024,2,29),DATE(2025,2,28),0)</f>
        <v>1</v>
      </c>
      <c r="F39" t="s">
        <v>69</v>
      </c>
    </row>
    <row r="40" spans="1:6" x14ac:dyDescent="0.3">
      <c r="A40" t="s">
        <v>169</v>
      </c>
      <c r="B40" t="s">
        <v>142</v>
      </c>
      <c r="C40" t="s">
        <v>170</v>
      </c>
      <c r="D40" t="s">
        <v>171</v>
      </c>
      <c r="E40">
        <f>YEARFRAC(DATE(2024,1,1),DATE(2024,12,31),1)</f>
        <v>0.99726775956284153</v>
      </c>
      <c r="F40" t="s">
        <v>172</v>
      </c>
    </row>
    <row r="41" spans="1:6" x14ac:dyDescent="0.3">
      <c r="A41" t="s">
        <v>173</v>
      </c>
      <c r="B41" t="s">
        <v>142</v>
      </c>
      <c r="C41" t="s">
        <v>174</v>
      </c>
      <c r="D41" t="s">
        <v>175</v>
      </c>
      <c r="E41">
        <f>YEARFRAC(DATE(2023,3,1),DATE(2024,3,1),1)</f>
        <v>1</v>
      </c>
      <c r="F41" t="s">
        <v>69</v>
      </c>
    </row>
    <row r="42" spans="1:6" x14ac:dyDescent="0.3">
      <c r="A42" t="s">
        <v>176</v>
      </c>
      <c r="B42" t="s">
        <v>142</v>
      </c>
      <c r="C42" t="s">
        <v>177</v>
      </c>
      <c r="D42" t="s">
        <v>178</v>
      </c>
      <c r="E42">
        <f>YEARFRAC(DATE(2012,7,30),DATE(2012,1,1))</f>
        <v>0.5805555555555556</v>
      </c>
      <c r="F42" t="s">
        <v>179</v>
      </c>
    </row>
    <row r="43" spans="1:6" x14ac:dyDescent="0.3">
      <c r="A43" t="s">
        <v>180</v>
      </c>
      <c r="B43" t="s">
        <v>142</v>
      </c>
      <c r="C43" t="s">
        <v>181</v>
      </c>
      <c r="D43" t="s">
        <v>182</v>
      </c>
      <c r="E43" t="e">
        <f>YEARFRAC(DATE(2012,1,1),DATE(2012,7,30),5)</f>
        <v>#NUM!</v>
      </c>
      <c r="F43" t="s">
        <v>183</v>
      </c>
    </row>
    <row r="44" spans="1:6" x14ac:dyDescent="0.3">
      <c r="A44" t="s">
        <v>184</v>
      </c>
      <c r="B44" t="s">
        <v>185</v>
      </c>
      <c r="C44" t="s">
        <v>186</v>
      </c>
      <c r="D44" t="s">
        <v>187</v>
      </c>
      <c r="E44">
        <f>DATEDIF(DATE(2001,1,1),DATE(2003,1,1),"Y")</f>
        <v>2</v>
      </c>
      <c r="F44" t="s">
        <v>188</v>
      </c>
    </row>
    <row r="45" spans="1:6" x14ac:dyDescent="0.3">
      <c r="A45" t="s">
        <v>189</v>
      </c>
      <c r="B45" t="s">
        <v>185</v>
      </c>
      <c r="C45" t="s">
        <v>190</v>
      </c>
      <c r="D45" t="s">
        <v>191</v>
      </c>
      <c r="E45">
        <f>DATEDIF(DATE(2001,6,1),DATE(2002,8,15),"D")</f>
        <v>440</v>
      </c>
      <c r="F45" t="s">
        <v>192</v>
      </c>
    </row>
    <row r="46" spans="1:6" x14ac:dyDescent="0.3">
      <c r="A46" t="s">
        <v>193</v>
      </c>
      <c r="B46" t="s">
        <v>185</v>
      </c>
      <c r="C46" t="s">
        <v>194</v>
      </c>
      <c r="D46" t="s">
        <v>195</v>
      </c>
      <c r="E46">
        <f>DATEDIF(DATE(2001,6,1),DATE(2002,8,15),"YD")</f>
        <v>75</v>
      </c>
      <c r="F46" t="s">
        <v>196</v>
      </c>
    </row>
    <row r="47" spans="1:6" x14ac:dyDescent="0.3">
      <c r="A47" t="s">
        <v>197</v>
      </c>
      <c r="B47" t="s">
        <v>185</v>
      </c>
      <c r="C47" t="s">
        <v>198</v>
      </c>
      <c r="D47" t="s">
        <v>199</v>
      </c>
      <c r="E47">
        <f>DATEDIF(DATE(2024,1,31),DATE(2024,3,30),"M")</f>
        <v>1</v>
      </c>
      <c r="F47" t="s">
        <v>69</v>
      </c>
    </row>
    <row r="48" spans="1:6" x14ac:dyDescent="0.3">
      <c r="A48" t="s">
        <v>200</v>
      </c>
      <c r="B48" t="s">
        <v>185</v>
      </c>
      <c r="C48" t="s">
        <v>201</v>
      </c>
      <c r="D48" t="s">
        <v>202</v>
      </c>
      <c r="E48">
        <f>DATEDIF(DATE(2024,1,31),DATE(2024,3,1),"MD")</f>
        <v>-1</v>
      </c>
      <c r="F48" t="s">
        <v>203</v>
      </c>
    </row>
    <row r="49" spans="1:6" x14ac:dyDescent="0.3">
      <c r="A49" t="s">
        <v>204</v>
      </c>
      <c r="B49" t="s">
        <v>185</v>
      </c>
      <c r="C49" t="s">
        <v>205</v>
      </c>
      <c r="D49" t="s">
        <v>206</v>
      </c>
      <c r="E49">
        <f>DATEDIF(DATE(2024,1,15),DATE(2025,3,20),"YM")</f>
        <v>2</v>
      </c>
      <c r="F49" t="s">
        <v>207</v>
      </c>
    </row>
    <row r="50" spans="1:6" x14ac:dyDescent="0.3">
      <c r="A50" t="s">
        <v>208</v>
      </c>
      <c r="B50" t="s">
        <v>185</v>
      </c>
      <c r="C50" t="s">
        <v>209</v>
      </c>
      <c r="D50" t="s">
        <v>210</v>
      </c>
      <c r="E50" t="e">
        <f>DATEDIF(DATE(2003,1,1),DATE(2001,1,1),"Y")</f>
        <v>#NUM!</v>
      </c>
      <c r="F50" t="s">
        <v>211</v>
      </c>
    </row>
    <row r="51" spans="1:6" x14ac:dyDescent="0.3">
      <c r="A51" t="s">
        <v>212</v>
      </c>
      <c r="B51" t="s">
        <v>185</v>
      </c>
      <c r="C51" t="s">
        <v>213</v>
      </c>
      <c r="D51" t="s">
        <v>214</v>
      </c>
      <c r="E51">
        <f>DATEDIF(DATE(2001,1,1),DATE(2003,1,1),"y")</f>
        <v>2</v>
      </c>
      <c r="F51" t="s">
        <v>215</v>
      </c>
    </row>
    <row r="52" spans="1:6" x14ac:dyDescent="0.3">
      <c r="A52" t="s">
        <v>216</v>
      </c>
      <c r="B52" t="s">
        <v>217</v>
      </c>
      <c r="C52" t="s">
        <v>218</v>
      </c>
      <c r="D52" t="s">
        <v>219</v>
      </c>
      <c r="E52">
        <f>NETWORKDAYS(DATE(2012,10,1),DATE(2013,3,1))</f>
        <v>110</v>
      </c>
      <c r="F52" t="s">
        <v>220</v>
      </c>
    </row>
    <row r="53" spans="1:6" x14ac:dyDescent="0.3">
      <c r="A53" t="s">
        <v>221</v>
      </c>
      <c r="B53" t="s">
        <v>217</v>
      </c>
      <c r="C53" t="s">
        <v>222</v>
      </c>
      <c r="D53" t="s">
        <v>223</v>
      </c>
      <c r="E53">
        <f>NETWORKDAYS(DATE(2012,10,1),DATE(2013,3,1),L2:L4)</f>
        <v>107</v>
      </c>
      <c r="F53" t="s">
        <v>224</v>
      </c>
    </row>
    <row r="54" spans="1:6" x14ac:dyDescent="0.3">
      <c r="A54" t="s">
        <v>225</v>
      </c>
      <c r="B54" t="s">
        <v>217</v>
      </c>
      <c r="C54" t="s">
        <v>226</v>
      </c>
      <c r="D54" t="s">
        <v>227</v>
      </c>
      <c r="E54">
        <f>NETWORKDAYS(DATE(2013,3,1),DATE(2012,10,1))</f>
        <v>-110</v>
      </c>
      <c r="F54" t="s">
        <v>228</v>
      </c>
    </row>
    <row r="55" spans="1:6" x14ac:dyDescent="0.3">
      <c r="A55" t="s">
        <v>229</v>
      </c>
      <c r="B55" t="s">
        <v>217</v>
      </c>
      <c r="C55" t="s">
        <v>230</v>
      </c>
      <c r="D55" t="s">
        <v>231</v>
      </c>
      <c r="E55">
        <f>NETWORKDAYS(DATE(2026,9,26),DATE(2026,9,26))</f>
        <v>0</v>
      </c>
      <c r="F55" t="s">
        <v>232</v>
      </c>
    </row>
    <row r="56" spans="1:6" x14ac:dyDescent="0.3">
      <c r="A56" t="s">
        <v>233</v>
      </c>
      <c r="B56" t="s">
        <v>234</v>
      </c>
      <c r="C56" t="s">
        <v>235</v>
      </c>
      <c r="D56" t="s">
        <v>236</v>
      </c>
      <c r="E56">
        <f>WORKDAY(DATE(2008,10,1),151)</f>
        <v>39933</v>
      </c>
      <c r="F56" t="s">
        <v>237</v>
      </c>
    </row>
    <row r="57" spans="1:6" x14ac:dyDescent="0.3">
      <c r="A57" t="s">
        <v>238</v>
      </c>
      <c r="B57" t="s">
        <v>234</v>
      </c>
      <c r="C57" t="s">
        <v>239</v>
      </c>
      <c r="D57" t="s">
        <v>240</v>
      </c>
      <c r="E57">
        <f>WORKDAY(DATE(2012,11,20),5,L2:L4)</f>
        <v>41241</v>
      </c>
      <c r="F57" t="s">
        <v>241</v>
      </c>
    </row>
    <row r="58" spans="1:6" x14ac:dyDescent="0.3">
      <c r="A58" t="s">
        <v>242</v>
      </c>
      <c r="B58" t="s">
        <v>234</v>
      </c>
      <c r="C58" t="s">
        <v>243</v>
      </c>
      <c r="D58" t="s">
        <v>244</v>
      </c>
      <c r="E58">
        <f>WORKDAY(DATE(2024,2,5),-1)</f>
        <v>45324</v>
      </c>
      <c r="F58" t="s">
        <v>245</v>
      </c>
    </row>
    <row r="59" spans="1:6" x14ac:dyDescent="0.3">
      <c r="A59" t="s">
        <v>246</v>
      </c>
      <c r="B59" t="s">
        <v>234</v>
      </c>
      <c r="C59" t="s">
        <v>247</v>
      </c>
      <c r="D59" t="s">
        <v>248</v>
      </c>
      <c r="E59">
        <f>WORKDAY(DATE(2026,9,26),1)</f>
        <v>46293</v>
      </c>
      <c r="F59" t="s">
        <v>249</v>
      </c>
    </row>
    <row r="60" spans="1:6" x14ac:dyDescent="0.3">
      <c r="A60" t="s">
        <v>250</v>
      </c>
      <c r="B60" t="s">
        <v>234</v>
      </c>
      <c r="C60" t="s">
        <v>251</v>
      </c>
      <c r="D60" t="s">
        <v>252</v>
      </c>
      <c r="E60">
        <f>WORKDAY(DATE(2026,9,26),0)</f>
        <v>46291</v>
      </c>
      <c r="F60" t="s">
        <v>253</v>
      </c>
    </row>
    <row r="61" spans="1:6" x14ac:dyDescent="0.3">
      <c r="A61" t="s">
        <v>254</v>
      </c>
      <c r="B61" t="s">
        <v>255</v>
      </c>
      <c r="C61" t="s">
        <v>256</v>
      </c>
      <c r="D61" t="s">
        <v>257</v>
      </c>
      <c r="E61">
        <f>DATEVALUE("2011-08-22")</f>
        <v>40777</v>
      </c>
      <c r="F61" t="s">
        <v>258</v>
      </c>
    </row>
    <row r="62" spans="1:6" x14ac:dyDescent="0.3">
      <c r="A62" t="s">
        <v>259</v>
      </c>
      <c r="B62" t="s">
        <v>255</v>
      </c>
      <c r="C62" t="s">
        <v>260</v>
      </c>
      <c r="D62" t="s">
        <v>261</v>
      </c>
      <c r="E62">
        <f>DATEVALUE("22/8/2011")</f>
        <v>40777</v>
      </c>
      <c r="F62" t="s">
        <v>258</v>
      </c>
    </row>
    <row r="63" spans="1:6" x14ac:dyDescent="0.3">
      <c r="A63" t="s">
        <v>262</v>
      </c>
      <c r="B63" t="s">
        <v>255</v>
      </c>
      <c r="C63" t="s">
        <v>263</v>
      </c>
      <c r="D63" t="s">
        <v>264</v>
      </c>
      <c r="E63">
        <f>DATEVALUE("22/8/11")</f>
        <v>40777</v>
      </c>
      <c r="F63" t="s">
        <v>265</v>
      </c>
    </row>
    <row r="64" spans="1:6" x14ac:dyDescent="0.3">
      <c r="A64" t="s">
        <v>266</v>
      </c>
      <c r="B64" t="s">
        <v>255</v>
      </c>
      <c r="C64" t="s">
        <v>267</v>
      </c>
      <c r="D64" t="s">
        <v>268</v>
      </c>
      <c r="E64">
        <f>DATEVALUE("22-ago-2011")</f>
        <v>40777</v>
      </c>
      <c r="F64" t="s">
        <v>265</v>
      </c>
    </row>
    <row r="65" spans="1:6" x14ac:dyDescent="0.3">
      <c r="A65" t="s">
        <v>269</v>
      </c>
      <c r="B65" t="s">
        <v>255</v>
      </c>
      <c r="C65" t="s">
        <v>270</v>
      </c>
      <c r="D65" t="s">
        <v>271</v>
      </c>
      <c r="E65">
        <f>DATEVALUE("22 agosto 2011")</f>
        <v>40777</v>
      </c>
      <c r="F65" t="s">
        <v>265</v>
      </c>
    </row>
    <row r="66" spans="1:6" x14ac:dyDescent="0.3">
      <c r="A66" t="s">
        <v>272</v>
      </c>
      <c r="B66" t="s">
        <v>255</v>
      </c>
      <c r="C66" t="s">
        <v>273</v>
      </c>
      <c r="D66" t="s">
        <v>274</v>
      </c>
      <c r="E66" t="e">
        <f>DATEVALUE("31/2/2024")</f>
        <v>#VALUE!</v>
      </c>
      <c r="F66" t="s">
        <v>275</v>
      </c>
    </row>
    <row r="67" spans="1:6" x14ac:dyDescent="0.3">
      <c r="A67" t="s">
        <v>276</v>
      </c>
      <c r="B67" t="s">
        <v>255</v>
      </c>
      <c r="C67" t="s">
        <v>277</v>
      </c>
      <c r="D67" t="s">
        <v>278</v>
      </c>
      <c r="E67" t="e">
        <f>DATEVALUE("mañana")</f>
        <v>#VALUE!</v>
      </c>
      <c r="F67" t="s">
        <v>279</v>
      </c>
    </row>
    <row r="68" spans="1:6" x14ac:dyDescent="0.3">
      <c r="A68" t="s">
        <v>280</v>
      </c>
      <c r="B68" t="s">
        <v>255</v>
      </c>
      <c r="C68" t="s">
        <v>281</v>
      </c>
      <c r="D68" t="s">
        <v>282</v>
      </c>
      <c r="E68">
        <f>DATEVALUE("22/8/2011 18:30")</f>
        <v>40777</v>
      </c>
      <c r="F68" t="s">
        <v>265</v>
      </c>
    </row>
    <row r="69" spans="1:6" x14ac:dyDescent="0.3">
      <c r="A69" t="s">
        <v>283</v>
      </c>
      <c r="B69" t="s">
        <v>284</v>
      </c>
      <c r="C69" t="s">
        <v>285</v>
      </c>
      <c r="D69" t="s">
        <v>286</v>
      </c>
      <c r="E69" t="e">
        <f>TEXT(5,"0 kg")</f>
        <v>#VALUE!</v>
      </c>
      <c r="F69" t="s">
        <v>275</v>
      </c>
    </row>
    <row r="70" spans="1:6" x14ac:dyDescent="0.3">
      <c r="A70" t="s">
        <v>287</v>
      </c>
      <c r="B70" t="s">
        <v>284</v>
      </c>
      <c r="C70" t="s">
        <v>288</v>
      </c>
      <c r="D70" t="s">
        <v>289</v>
      </c>
      <c r="E70" t="str">
        <f>TEXT(5,"0 \k\g")</f>
        <v>5 kg</v>
      </c>
      <c r="F70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Fidelidad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Jaimes Gonzalez</cp:lastModifiedBy>
  <dcterms:created xsi:type="dcterms:W3CDTF">2026-09-23T19:14:17Z</dcterms:created>
  <dcterms:modified xsi:type="dcterms:W3CDTF">2026-09-23T20:14:24Z</dcterms:modified>
</cp:coreProperties>
</file>