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delida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52" customWidth="1" min="3" max="3"/>
    <col width="52" customWidth="1" min="4" max="4"/>
    <col width="20" customWidth="1" min="5" max="5"/>
    <col width="44" customWidth="1" min="6" max="6"/>
  </cols>
  <sheetData>
    <row r="1">
      <c r="A1" s="1" t="inlineStr">
        <is>
          <t>id</t>
        </is>
      </c>
      <c r="B1" s="1" t="inlineStr">
        <is>
          <t>categoria</t>
        </is>
      </c>
      <c r="C1" s="1" t="inlineStr">
        <is>
          <t>descripcion</t>
        </is>
      </c>
      <c r="D1" s="1" t="inlineStr">
        <is>
          <t>formula (texto)</t>
        </is>
      </c>
      <c r="E1" s="1" t="inlineStr">
        <is>
          <t>resultado de Excel</t>
        </is>
      </c>
      <c r="F1" s="1" t="inlineStr">
        <is>
          <t>notas</t>
        </is>
      </c>
      <c r="H1" s="1" t="inlineStr">
        <is>
          <t>auxiliares</t>
        </is>
      </c>
    </row>
    <row r="2">
      <c r="A2" t="inlineStr">
        <is>
          <t>T6-001</t>
        </is>
      </c>
      <c r="B2" t="inlineStr">
        <is>
          <t>maxsi</t>
        </is>
      </c>
      <c r="C2" t="inlineStr">
        <is>
          <t>Máximo entre las filas del grado 1</t>
        </is>
      </c>
      <c r="D2" t="inlineStr">
        <is>
          <t>MAXIFS(H2:H7,I2:I7,1)</t>
        </is>
      </c>
      <c r="E2">
        <f>_xlfn.MAXIFS(H2:H7,I2:I7,1)</f>
        <v/>
      </c>
      <c r="F2" t="inlineStr">
        <is>
          <t>91 (Microsoft). motor: 91</t>
        </is>
      </c>
      <c r="H2" t="n">
        <v>89</v>
      </c>
      <c r="I2" t="n">
        <v>1</v>
      </c>
      <c r="J2" t="n">
        <v>4.14</v>
      </c>
      <c r="K2" t="inlineStr">
        <is>
          <t>rojo</t>
        </is>
      </c>
      <c r="L2" t="n">
        <v>41235</v>
      </c>
      <c r="N2" t="inlineStr">
        <is>
          <t>a</t>
        </is>
      </c>
      <c r="O2" t="inlineStr">
        <is>
          <t>b</t>
        </is>
      </c>
      <c r="P2" t="inlineStr">
        <is>
          <t>c</t>
        </is>
      </c>
      <c r="Q2" t="inlineStr">
        <is>
          <t>d</t>
        </is>
      </c>
    </row>
    <row r="3">
      <c r="A3" t="inlineStr">
        <is>
          <t>T6-002</t>
        </is>
      </c>
      <c r="B3" t="inlineStr">
        <is>
          <t>maxsi</t>
        </is>
      </c>
      <c r="C3" t="inlineStr">
        <is>
          <t>Mínimo entre las filas del grado 1</t>
        </is>
      </c>
      <c r="D3" t="inlineStr">
        <is>
          <t>MINIFS(H2:H7,I2:I7,1)</t>
        </is>
      </c>
      <c r="E3">
        <f>_xlfn.MINIFS(H2:H7,I2:I7,1)</f>
        <v/>
      </c>
      <c r="F3" t="inlineStr">
        <is>
          <t>88 (Microsoft). motor: 88</t>
        </is>
      </c>
      <c r="H3" t="n">
        <v>93</v>
      </c>
      <c r="I3" t="n">
        <v>2</v>
      </c>
      <c r="J3" t="n">
        <v>4.19</v>
      </c>
      <c r="K3" t="inlineStr">
        <is>
          <t>naranja</t>
        </is>
      </c>
      <c r="L3" t="n">
        <v>41247</v>
      </c>
      <c r="N3" t="n">
        <v>1</v>
      </c>
      <c r="O3" t="n">
        <v>2</v>
      </c>
      <c r="P3" t="n">
        <v>3</v>
      </c>
      <c r="Q3" t="n">
        <v>4</v>
      </c>
    </row>
    <row r="4">
      <c r="A4" t="inlineStr">
        <is>
          <t>T6-003</t>
        </is>
      </c>
      <c r="B4" t="inlineStr">
        <is>
          <t>maxsi</t>
        </is>
      </c>
      <c r="C4" t="inlineStr">
        <is>
          <t>Sin coincidencias: ¿0 o error?</t>
        </is>
      </c>
      <c r="D4" t="inlineStr">
        <is>
          <t>MAXIFS(H2:H7,I2:I7,9)</t>
        </is>
      </c>
      <c r="E4">
        <f>_xlfn.MAXIFS(H2:H7,I2:I7,9)</f>
        <v/>
      </c>
      <c r="F4" t="inlineStr">
        <is>
          <t>A VERIFICAR. motor: 0</t>
        </is>
      </c>
      <c r="H4" t="n">
        <v>96</v>
      </c>
      <c r="I4" t="n">
        <v>2</v>
      </c>
      <c r="J4" t="n">
        <v>5.17</v>
      </c>
      <c r="K4" t="inlineStr">
        <is>
          <t>amarillo</t>
        </is>
      </c>
      <c r="L4" t="n">
        <v>41295</v>
      </c>
    </row>
    <row r="5">
      <c r="A5" t="inlineStr">
        <is>
          <t>T6-004</t>
        </is>
      </c>
      <c r="B5" t="inlineStr">
        <is>
          <t>maxsi</t>
        </is>
      </c>
      <c r="C5" t="inlineStr">
        <is>
          <t>Dos criterios</t>
        </is>
      </c>
      <c r="D5" t="inlineStr">
        <is>
          <t>MAXIFS(H2:H7,I2:I7,"&gt;1",H2:H7,"&lt;95")</t>
        </is>
      </c>
      <c r="E5">
        <f>_xlfn.MAXIFS(H2:H7,I2:I7,"&gt;1",H2:H7,"&lt;95")</f>
        <v/>
      </c>
      <c r="F5" t="inlineStr">
        <is>
          <t>motor: 93</t>
        </is>
      </c>
      <c r="H5" t="n">
        <v>85</v>
      </c>
      <c r="I5" t="n">
        <v>3</v>
      </c>
      <c r="J5" t="n">
        <v>5.77</v>
      </c>
      <c r="K5" t="inlineStr">
        <is>
          <t>verde</t>
        </is>
      </c>
    </row>
    <row r="6">
      <c r="A6" t="inlineStr">
        <is>
          <t>T6-005</t>
        </is>
      </c>
      <c r="B6" t="inlineStr">
        <is>
          <t>maxsi</t>
        </is>
      </c>
      <c r="C6" t="inlineStr">
        <is>
          <t>Criterio de distinto</t>
        </is>
      </c>
      <c r="D6" t="inlineStr">
        <is>
          <t>MINIFS(H2:H7,I2:I7,"&lt;&gt;2")</t>
        </is>
      </c>
      <c r="E6">
        <f>_xlfn.MINIFS(H2:H7,I2:I7,"&lt;&gt;2")</f>
        <v/>
      </c>
      <c r="F6" t="inlineStr">
        <is>
          <t>motor: 85</t>
        </is>
      </c>
      <c r="H6" t="n">
        <v>91</v>
      </c>
      <c r="I6" t="n">
        <v>1</v>
      </c>
      <c r="J6" t="n">
        <v>6.39</v>
      </c>
      <c r="K6" t="inlineStr">
        <is>
          <t>azul</t>
        </is>
      </c>
    </row>
    <row r="7">
      <c r="A7" t="inlineStr">
        <is>
          <t>T6-006</t>
        </is>
      </c>
      <c r="B7" t="inlineStr">
        <is>
          <t>si.conjunto</t>
        </is>
      </c>
      <c r="C7" t="inlineStr">
        <is>
          <t>La primera condición cierta gana</t>
        </is>
      </c>
      <c r="D7" t="inlineStr">
        <is>
          <t>IFS(H2&gt;90,"A",H2&gt;80,"B",TRUE,"C")</t>
        </is>
      </c>
      <c r="E7">
        <f>_xlfn.IFS(H2&gt;90,"A",H2&gt;80,"B",TRUE,"C")</f>
        <v/>
      </c>
      <c r="F7" t="inlineStr">
        <is>
          <t>motor: "B"</t>
        </is>
      </c>
      <c r="H7" t="n">
        <v>88</v>
      </c>
      <c r="I7" t="n">
        <v>1</v>
      </c>
    </row>
    <row r="8">
      <c r="A8" t="inlineStr">
        <is>
          <t>T6-007</t>
        </is>
      </c>
      <c r="B8" t="inlineStr">
        <is>
          <t>si.conjunto</t>
        </is>
      </c>
      <c r="C8" t="inlineStr">
        <is>
          <t>Ninguna condición cierta</t>
        </is>
      </c>
      <c r="D8" t="inlineStr">
        <is>
          <t>IFS(H2&gt;95,"A")</t>
        </is>
      </c>
      <c r="E8">
        <f>_xlfn.IFS(H2&gt;95,"A")</f>
        <v/>
      </c>
      <c r="F8" t="inlineStr">
        <is>
          <t>A VERIFICAR. motor: #N/A</t>
        </is>
      </c>
    </row>
    <row r="9">
      <c r="A9" t="inlineStr">
        <is>
          <t>T6-008</t>
        </is>
      </c>
      <c r="B9" t="inlineStr">
        <is>
          <t>si.conjunto</t>
        </is>
      </c>
      <c r="C9" t="inlineStr">
        <is>
          <t>Una condición con error antes de la cierta</t>
        </is>
      </c>
      <c r="D9" t="inlineStr">
        <is>
          <t>IFS(1/0&gt;1,"A",TRUE,"B")</t>
        </is>
      </c>
      <c r="E9">
        <f>_xlfn.IFS(1/0&gt;1,"A",TRUE,"B")</f>
        <v/>
      </c>
      <c r="F9" t="inlineStr">
        <is>
          <t>A VERIFICAR. motor: #DIV/0!</t>
        </is>
      </c>
    </row>
    <row r="10">
      <c r="A10" t="inlineStr">
        <is>
          <t>T6-009</t>
        </is>
      </c>
      <c r="B10" t="inlineStr">
        <is>
          <t>si.conjunto</t>
        </is>
      </c>
      <c r="C10" t="inlineStr">
        <is>
          <t>Falso y luego cierto</t>
        </is>
      </c>
      <c r="D10" t="inlineStr">
        <is>
          <t>IFS(FALSE,1,TRUE,"x")</t>
        </is>
      </c>
      <c r="E10">
        <f>_xlfn.IFS(FALSE,1,TRUE,"x")</f>
        <v/>
      </c>
      <c r="F10" t="inlineStr">
        <is>
          <t>motor: "x"</t>
        </is>
      </c>
    </row>
    <row r="11">
      <c r="A11" t="inlineStr">
        <is>
          <t>T6-010</t>
        </is>
      </c>
      <c r="B11" t="inlineStr">
        <is>
          <t>cambiar</t>
        </is>
      </c>
      <c r="C11" t="inlineStr">
        <is>
          <t>Coincide el segundo valor</t>
        </is>
      </c>
      <c r="D11" t="inlineStr">
        <is>
          <t>SWITCH(I3,1,"uno",2,"dos","otro")</t>
        </is>
      </c>
      <c r="E11">
        <f>_xlfn.SWITCH(I3,1,"uno",2,"dos","otro")</f>
        <v/>
      </c>
      <c r="F11" t="inlineStr">
        <is>
          <t>motor: "dos"</t>
        </is>
      </c>
    </row>
    <row r="12">
      <c r="A12" t="inlineStr">
        <is>
          <t>T6-011</t>
        </is>
      </c>
      <c r="B12" t="inlineStr">
        <is>
          <t>cambiar</t>
        </is>
      </c>
      <c r="C12" t="inlineStr">
        <is>
          <t>Sin coincidencia, con valor por defecto</t>
        </is>
      </c>
      <c r="D12" t="inlineStr">
        <is>
          <t>SWITCH(9,1,"uno","otro")</t>
        </is>
      </c>
      <c r="E12">
        <f>_xlfn.SWITCH(9,1,"uno","otro")</f>
        <v/>
      </c>
      <c r="F12" t="inlineStr">
        <is>
          <t>motor: "otro"</t>
        </is>
      </c>
    </row>
    <row r="13">
      <c r="A13" t="inlineStr">
        <is>
          <t>T6-012</t>
        </is>
      </c>
      <c r="B13" t="inlineStr">
        <is>
          <t>cambiar</t>
        </is>
      </c>
      <c r="C13" t="inlineStr">
        <is>
          <t>Sin coincidencia ni valor por defecto</t>
        </is>
      </c>
      <c r="D13" t="inlineStr">
        <is>
          <t>SWITCH(9,1,"uno")</t>
        </is>
      </c>
      <c r="E13">
        <f>_xlfn.SWITCH(9,1,"uno")</f>
        <v/>
      </c>
      <c r="F13" t="inlineStr">
        <is>
          <t>A VERIFICAR. motor: #N/A</t>
        </is>
      </c>
    </row>
    <row r="14">
      <c r="A14" t="inlineStr">
        <is>
          <t>T6-013</t>
        </is>
      </c>
      <c r="B14" t="inlineStr">
        <is>
          <t>cambiar</t>
        </is>
      </c>
      <c r="C14" t="inlineStr">
        <is>
          <t>Texto con distintas mayúsculas</t>
        </is>
      </c>
      <c r="D14" t="inlineStr">
        <is>
          <t>SWITCH("ABC","abc",1,0)</t>
        </is>
      </c>
      <c r="E14">
        <f>_xlfn.SWITCH("ABC","abc",1,0)</f>
        <v/>
      </c>
      <c r="F14" t="inlineStr">
        <is>
          <t>A VERIFICAR. motor: 1</t>
        </is>
      </c>
    </row>
    <row r="15">
      <c r="A15" t="inlineStr">
        <is>
          <t>T6-014</t>
        </is>
      </c>
      <c r="B15" t="inlineStr">
        <is>
          <t>cambiar</t>
        </is>
      </c>
      <c r="C15" t="inlineStr">
        <is>
          <t>La expresión es un error</t>
        </is>
      </c>
      <c r="D15" t="inlineStr">
        <is>
          <t>SWITCH(1/0,1,"a","b")</t>
        </is>
      </c>
      <c r="E15">
        <f>_xlfn.SWITCH(1/0,1,"a","b")</f>
        <v/>
      </c>
      <c r="F15" t="inlineStr">
        <is>
          <t>A VERIFICAR. motor: #DIV/0!</t>
        </is>
      </c>
    </row>
    <row r="16">
      <c r="A16" t="inlineStr">
        <is>
          <t>T6-015</t>
        </is>
      </c>
      <c r="B16" t="inlineStr">
        <is>
          <t>buscar</t>
        </is>
      </c>
      <c r="C16" t="inlineStr">
        <is>
          <t>Coincidencia exacta en el vector</t>
        </is>
      </c>
      <c r="D16" t="inlineStr">
        <is>
          <t>LOOKUP(4.19,J2:J6,K2:K6)</t>
        </is>
      </c>
      <c r="E16">
        <f>LOOKUP(4.19,J2:J6,K2:K6)</f>
        <v/>
      </c>
      <c r="F16" t="inlineStr">
        <is>
          <t>naranja (Microsoft). motor: "naranja"</t>
        </is>
      </c>
    </row>
    <row r="17">
      <c r="A17" t="inlineStr">
        <is>
          <t>T6-016</t>
        </is>
      </c>
      <c r="B17" t="inlineStr">
        <is>
          <t>buscar</t>
        </is>
      </c>
      <c r="C17" t="inlineStr">
        <is>
          <t>Entre dos valores: el menor</t>
        </is>
      </c>
      <c r="D17" t="inlineStr">
        <is>
          <t>LOOKUP(5,J2:J6,K2:K6)</t>
        </is>
      </c>
      <c r="E17">
        <f>LOOKUP(5,J2:J6,K2:K6)</f>
        <v/>
      </c>
      <c r="F17" t="inlineStr">
        <is>
          <t>naranja (Microsoft). motor: "naranja"</t>
        </is>
      </c>
    </row>
    <row r="18">
      <c r="A18" t="inlineStr">
        <is>
          <t>T6-017</t>
        </is>
      </c>
      <c r="B18" t="inlineStr">
        <is>
          <t>buscar</t>
        </is>
      </c>
      <c r="C18" t="inlineStr">
        <is>
          <t>Por encima del último</t>
        </is>
      </c>
      <c r="D18" t="inlineStr">
        <is>
          <t>LOOKUP(7.66,J2:J6,K2:K6)</t>
        </is>
      </c>
      <c r="E18">
        <f>LOOKUP(7.66,J2:J6,K2:K6)</f>
        <v/>
      </c>
      <c r="F18" t="inlineStr">
        <is>
          <t>azul (Microsoft). motor: "azul"</t>
        </is>
      </c>
    </row>
    <row r="19">
      <c r="A19" t="inlineStr">
        <is>
          <t>T6-018</t>
        </is>
      </c>
      <c r="B19" t="inlineStr">
        <is>
          <t>buscar</t>
        </is>
      </c>
      <c r="C19" t="inlineStr">
        <is>
          <t>Por debajo del primero</t>
        </is>
      </c>
      <c r="D19" t="inlineStr">
        <is>
          <t>LOOKUP(0,J2:J6,K2:K6)</t>
        </is>
      </c>
      <c r="E19">
        <f>LOOKUP(0,J2:J6,K2:K6)</f>
        <v/>
      </c>
      <c r="F19" t="inlineStr">
        <is>
          <t>#N/A (Microsoft). motor: #N/A</t>
        </is>
      </c>
    </row>
    <row r="20">
      <c r="A20" t="inlineStr">
        <is>
          <t>T6-019</t>
        </is>
      </c>
      <c r="B20" t="inlineStr">
        <is>
          <t>buscar</t>
        </is>
      </c>
      <c r="C20" t="inlineStr">
        <is>
          <t>Sin vector de resultado</t>
        </is>
      </c>
      <c r="D20" t="inlineStr">
        <is>
          <t>LOOKUP(5,J2:J6)</t>
        </is>
      </c>
      <c r="E20">
        <f>LOOKUP(5,J2:J6)</f>
        <v/>
      </c>
      <c r="F20" t="inlineStr">
        <is>
          <t>motor: 4,19</t>
        </is>
      </c>
    </row>
    <row r="21">
      <c r="A21" t="inlineStr">
        <is>
          <t>T6-020</t>
        </is>
      </c>
      <c r="B21" t="inlineStr">
        <is>
          <t>buscar</t>
        </is>
      </c>
      <c r="C21" t="inlineStr">
        <is>
          <t>Matriz más ancha que alta: busca en la 1.ª fila</t>
        </is>
      </c>
      <c r="D21" t="inlineStr">
        <is>
          <t>LOOKUP("c",N2:Q3)</t>
        </is>
      </c>
      <c r="E21">
        <f>LOOKUP("c",N2:Q3)</f>
        <v/>
      </c>
      <c r="F21" t="inlineStr">
        <is>
          <t>3 (Microsoft). motor: 3</t>
        </is>
      </c>
    </row>
    <row r="22">
      <c r="A22" t="inlineStr">
        <is>
          <t>T6-021</t>
        </is>
      </c>
      <c r="B22" t="inlineStr">
        <is>
          <t>buscar</t>
        </is>
      </c>
      <c r="C22" t="inlineStr">
        <is>
          <t>Matriz más alta que ancha: busca en la 1.ª columna</t>
        </is>
      </c>
      <c r="D22" t="inlineStr">
        <is>
          <t>LOOKUP(5.5,J2:K6)</t>
        </is>
      </c>
      <c r="E22">
        <f>LOOKUP(5.5,J2:K6)</f>
        <v/>
      </c>
      <c r="F22" t="inlineStr">
        <is>
          <t>motor: "amarillo"</t>
        </is>
      </c>
    </row>
    <row r="23">
      <c r="A23" t="inlineStr">
        <is>
          <t>T6-022</t>
        </is>
      </c>
      <c r="B23" t="inlineStr">
        <is>
          <t>buscar</t>
        </is>
      </c>
      <c r="C23" t="inlineStr">
        <is>
          <t>Lista desordenada</t>
        </is>
      </c>
      <c r="D23" t="inlineStr">
        <is>
          <t>LOOKUP(90,H2:H7,I2:I7)</t>
        </is>
      </c>
      <c r="E23">
        <f>LOOKUP(90,H2:H7,I2:I7)</f>
        <v/>
      </c>
      <c r="F23" t="inlineStr">
        <is>
          <t>A VERIFICAR: Excel busca en binario. motor: 1</t>
        </is>
      </c>
    </row>
    <row r="24">
      <c r="A24" t="inlineStr">
        <is>
          <t>T6-023</t>
        </is>
      </c>
      <c r="B24" t="inlineStr">
        <is>
          <t>dias360</t>
        </is>
      </c>
      <c r="C24" t="inlineStr">
        <is>
          <t>Del 30-ene al 31-dic</t>
        </is>
      </c>
      <c r="D24" t="inlineStr">
        <is>
          <t>DAYS360(DATE(2011,1,30),DATE(2011,12,31))</t>
        </is>
      </c>
      <c r="E24">
        <f>DAYS360(DATE(2011,1,30),DATE(2011,12,31))</f>
        <v/>
      </c>
      <c r="F24" t="inlineStr">
        <is>
          <t>330 (Microsoft). motor: 330</t>
        </is>
      </c>
    </row>
    <row r="25">
      <c r="A25" t="inlineStr">
        <is>
          <t>T6-024</t>
        </is>
      </c>
      <c r="B25" t="inlineStr">
        <is>
          <t>dias360</t>
        </is>
      </c>
      <c r="C25" t="inlineStr">
        <is>
          <t>Del 29-feb bisiesto al 31-mar</t>
        </is>
      </c>
      <c r="D25" t="inlineStr">
        <is>
          <t>DAYS360(DATE(2024,2,29),DATE(2024,3,31))</t>
        </is>
      </c>
      <c r="E25">
        <f>DAYS360(DATE(2024,2,29),DATE(2024,3,31))</f>
        <v/>
      </c>
      <c r="F25" t="inlineStr">
        <is>
          <t>A VERIFICAR. motor: 30</t>
        </is>
      </c>
    </row>
    <row r="26">
      <c r="A26" t="inlineStr">
        <is>
          <t>T6-025</t>
        </is>
      </c>
      <c r="B26" t="inlineStr">
        <is>
          <t>dias360</t>
        </is>
      </c>
      <c r="C26" t="inlineStr">
        <is>
          <t>Del 31-ene al 29-feb bisiesto</t>
        </is>
      </c>
      <c r="D26" t="inlineStr">
        <is>
          <t>DAYS360(DATE(2024,1,31),DATE(2024,2,29))</t>
        </is>
      </c>
      <c r="E26">
        <f>DAYS360(DATE(2024,1,31),DATE(2024,2,29))</f>
        <v/>
      </c>
      <c r="F26" t="inlineStr">
        <is>
          <t>A VERIFICAR. motor: 29</t>
        </is>
      </c>
    </row>
    <row r="27">
      <c r="A27" t="inlineStr">
        <is>
          <t>T6-026</t>
        </is>
      </c>
      <c r="B27" t="inlineStr">
        <is>
          <t>dias360</t>
        </is>
      </c>
      <c r="C27" t="inlineStr">
        <is>
          <t>Del 28-feb bisiesto (no es fin de mes) al 31-mar</t>
        </is>
      </c>
      <c r="D27" t="inlineStr">
        <is>
          <t>DAYS360(DATE(2024,2,28),DATE(2024,3,31))</t>
        </is>
      </c>
      <c r="E27">
        <f>DAYS360(DATE(2024,2,28),DATE(2024,3,31))</f>
        <v/>
      </c>
      <c r="F27" t="inlineStr">
        <is>
          <t>A VERIFICAR. motor: 33</t>
        </is>
      </c>
    </row>
    <row r="28">
      <c r="A28" t="inlineStr">
        <is>
          <t>T6-027</t>
        </is>
      </c>
      <c r="B28" t="inlineStr">
        <is>
          <t>dias360</t>
        </is>
      </c>
      <c r="C28" t="inlineStr">
        <is>
          <t>Del 28-feb no bisiesto (fin de mes) al 31-mar</t>
        </is>
      </c>
      <c r="D28" t="inlineStr">
        <is>
          <t>DAYS360(DATE(2023,2,28),DATE(2023,3,31))</t>
        </is>
      </c>
      <c r="E28">
        <f>DAYS360(DATE(2023,2,28),DATE(2023,3,31))</f>
        <v/>
      </c>
      <c r="F28" t="inlineStr">
        <is>
          <t>A VERIFICAR. motor: 30</t>
        </is>
      </c>
    </row>
    <row r="29">
      <c r="A29" t="inlineStr">
        <is>
          <t>T6-028</t>
        </is>
      </c>
      <c r="B29" t="inlineStr">
        <is>
          <t>dias360</t>
        </is>
      </c>
      <c r="C29" t="inlineStr">
        <is>
          <t>Del 29-feb al 28-feb siguiente (dos fines de febrero)</t>
        </is>
      </c>
      <c r="D29" t="inlineStr">
        <is>
          <t>DAYS360(DATE(2024,2,29),DATE(2025,2,28))</t>
        </is>
      </c>
      <c r="E29">
        <f>DAYS360(DATE(2024,2,29),DATE(2025,2,28))</f>
        <v/>
      </c>
      <c r="F29" t="inlineStr">
        <is>
          <t>A VERIFICAR. motor: 358</t>
        </is>
      </c>
    </row>
    <row r="30">
      <c r="A30" t="inlineStr">
        <is>
          <t>T6-029</t>
        </is>
      </c>
      <c r="B30" t="inlineStr">
        <is>
          <t>dias360</t>
        </is>
      </c>
      <c r="C30" t="inlineStr">
        <is>
          <t>Europeo: del 31-ene al 31-mar</t>
        </is>
      </c>
      <c r="D30" t="inlineStr">
        <is>
          <t>DAYS360(DATE(2024,1,31),DATE(2024,3,31),TRUE)</t>
        </is>
      </c>
      <c r="E30">
        <f>DAYS360(DATE(2024,1,31),DATE(2024,3,31),TRUE)</f>
        <v/>
      </c>
      <c r="F30" t="inlineStr">
        <is>
          <t>motor: 60</t>
        </is>
      </c>
    </row>
    <row r="31">
      <c r="A31" t="inlineStr">
        <is>
          <t>T6-030</t>
        </is>
      </c>
      <c r="B31" t="inlineStr">
        <is>
          <t>dias360</t>
        </is>
      </c>
      <c r="C31" t="inlineStr">
        <is>
          <t>Europeo: del 29-feb al 31-mar</t>
        </is>
      </c>
      <c r="D31" t="inlineStr">
        <is>
          <t>DAYS360(DATE(2024,2,29),DATE(2024,3,31),TRUE)</t>
        </is>
      </c>
      <c r="E31">
        <f>DAYS360(DATE(2024,2,29),DATE(2024,3,31),TRUE)</f>
        <v/>
      </c>
      <c r="F31" t="inlineStr">
        <is>
          <t>A VERIFICAR. motor: 31</t>
        </is>
      </c>
    </row>
    <row r="32">
      <c r="A32" t="inlineStr">
        <is>
          <t>T6-031</t>
        </is>
      </c>
      <c r="B32" t="inlineStr">
        <is>
          <t>dias360</t>
        </is>
      </c>
      <c r="C32" t="inlineStr">
        <is>
          <t>Fin anterior al inicio</t>
        </is>
      </c>
      <c r="D32" t="inlineStr">
        <is>
          <t>DAYS360(DATE(2024,3,31),DATE(2024,1,15))</t>
        </is>
      </c>
      <c r="E32">
        <f>DAYS360(DATE(2024,3,31),DATE(2024,1,15))</f>
        <v/>
      </c>
      <c r="F32" t="inlineStr">
        <is>
          <t>motor: -75</t>
        </is>
      </c>
    </row>
    <row r="33">
      <c r="A33" t="inlineStr">
        <is>
          <t>T6-032</t>
        </is>
      </c>
      <c r="B33" t="inlineStr">
        <is>
          <t>frac.año</t>
        </is>
      </c>
      <c r="C33" t="inlineStr">
        <is>
          <t>Base 0 (30/360 EE. UU.)</t>
        </is>
      </c>
      <c r="D33" t="inlineStr">
        <is>
          <t>YEARFRAC(DATE(2012,1,1),DATE(2012,7,30))</t>
        </is>
      </c>
      <c r="E33">
        <f>YEARFRAC(DATE(2012,1,1),DATE(2012,7,30))</f>
        <v/>
      </c>
      <c r="F33" t="inlineStr">
        <is>
          <t>0,58055556 (Microsoft). motor: 0,580555555556</t>
        </is>
      </c>
    </row>
    <row r="34">
      <c r="A34" t="inlineStr">
        <is>
          <t>T6-033</t>
        </is>
      </c>
      <c r="B34" t="inlineStr">
        <is>
          <t>frac.año</t>
        </is>
      </c>
      <c r="C34" t="inlineStr">
        <is>
          <t>Base 1 (real/real)</t>
        </is>
      </c>
      <c r="D34" t="inlineStr">
        <is>
          <t>YEARFRAC(DATE(2012,1,1),DATE(2012,7,30),1)</t>
        </is>
      </c>
      <c r="E34">
        <f>YEARFRAC(DATE(2012,1,1),DATE(2012,7,30),1)</f>
        <v/>
      </c>
      <c r="F34" t="inlineStr">
        <is>
          <t>0,57650273 (Microsoft). motor: 0,57650273224</t>
        </is>
      </c>
    </row>
    <row r="35">
      <c r="A35" t="inlineStr">
        <is>
          <t>T6-034</t>
        </is>
      </c>
      <c r="B35" t="inlineStr">
        <is>
          <t>frac.año</t>
        </is>
      </c>
      <c r="C35" t="inlineStr">
        <is>
          <t>Base 2 (real/360)</t>
        </is>
      </c>
      <c r="D35" t="inlineStr">
        <is>
          <t>YEARFRAC(DATE(2012,1,1),DATE(2012,7,30),2)</t>
        </is>
      </c>
      <c r="E35">
        <f>YEARFRAC(DATE(2012,1,1),DATE(2012,7,30),2)</f>
        <v/>
      </c>
      <c r="F35" t="inlineStr">
        <is>
          <t>motor: 0,586111111111</t>
        </is>
      </c>
    </row>
    <row r="36">
      <c r="A36" t="inlineStr">
        <is>
          <t>T6-035</t>
        </is>
      </c>
      <c r="B36" t="inlineStr">
        <is>
          <t>frac.año</t>
        </is>
      </c>
      <c r="C36" t="inlineStr">
        <is>
          <t>Base 3 (real/365)</t>
        </is>
      </c>
      <c r="D36" t="inlineStr">
        <is>
          <t>YEARFRAC(DATE(2012,1,1),DATE(2012,7,30),3)</t>
        </is>
      </c>
      <c r="E36">
        <f>YEARFRAC(DATE(2012,1,1),DATE(2012,7,30),3)</f>
        <v/>
      </c>
      <c r="F36" t="inlineStr">
        <is>
          <t>0,57808219 (Microsoft). motor: 0,578082191781</t>
        </is>
      </c>
    </row>
    <row r="37">
      <c r="A37" t="inlineStr">
        <is>
          <t>T6-036</t>
        </is>
      </c>
      <c r="B37" t="inlineStr">
        <is>
          <t>frac.año</t>
        </is>
      </c>
      <c r="C37" t="inlineStr">
        <is>
          <t>Base 4 (30/360 europeo)</t>
        </is>
      </c>
      <c r="D37" t="inlineStr">
        <is>
          <t>YEARFRAC(DATE(2012,1,31),DATE(2012,7,31),4)</t>
        </is>
      </c>
      <c r="E37">
        <f>YEARFRAC(DATE(2012,1,31),DATE(2012,7,31),4)</f>
        <v/>
      </c>
      <c r="F37" t="inlineStr">
        <is>
          <t>motor: 0,5</t>
        </is>
      </c>
    </row>
    <row r="38">
      <c r="A38" t="inlineStr">
        <is>
          <t>T6-037</t>
        </is>
      </c>
      <c r="B38" t="inlineStr">
        <is>
          <t>frac.año</t>
        </is>
      </c>
      <c r="C38" t="inlineStr">
        <is>
          <t>Base 1 atravesando varios años</t>
        </is>
      </c>
      <c r="D38" t="inlineStr">
        <is>
          <t>YEARFRAC(DATE(2023,6,15),DATE(2025,3,1),1)</t>
        </is>
      </c>
      <c r="E38">
        <f>YEARFRAC(DATE(2023,6,15),DATE(2025,3,1),1)</f>
        <v/>
      </c>
      <c r="F38" t="inlineStr">
        <is>
          <t>A VERIFICAR. motor: 1,71076642336</t>
        </is>
      </c>
    </row>
    <row r="39">
      <c r="A39" t="inlineStr">
        <is>
          <t>T6-038</t>
        </is>
      </c>
      <c r="B39" t="inlineStr">
        <is>
          <t>frac.año</t>
        </is>
      </c>
      <c r="C39" t="inlineStr">
        <is>
          <t>Base 0 de fin de febrero a fin de febrero</t>
        </is>
      </c>
      <c r="D39" t="inlineStr">
        <is>
          <t>YEARFRAC(DATE(2024,2,29),DATE(2025,2,28),0)</t>
        </is>
      </c>
      <c r="E39">
        <f>YEARFRAC(DATE(2024,2,29),DATE(2025,2,28),0)</f>
        <v/>
      </c>
      <c r="F39" t="inlineStr">
        <is>
          <t>A VERIFICAR. motor: 1</t>
        </is>
      </c>
    </row>
    <row r="40">
      <c r="A40" t="inlineStr">
        <is>
          <t>T6-039</t>
        </is>
      </c>
      <c r="B40" t="inlineStr">
        <is>
          <t>frac.año</t>
        </is>
      </c>
      <c r="C40" t="inlineStr">
        <is>
          <t>Base 1 dentro de un año bisiesto</t>
        </is>
      </c>
      <c r="D40" t="inlineStr">
        <is>
          <t>YEARFRAC(DATE(2024,1,1),DATE(2024,12,31),1)</t>
        </is>
      </c>
      <c r="E40">
        <f>YEARFRAC(DATE(2024,1,1),DATE(2024,12,31),1)</f>
        <v/>
      </c>
      <c r="F40" t="inlineStr">
        <is>
          <t>A VERIFICAR. motor: 0,997267759563</t>
        </is>
      </c>
    </row>
    <row r="41">
      <c r="A41" t="inlineStr">
        <is>
          <t>T6-040</t>
        </is>
      </c>
      <c r="B41" t="inlineStr">
        <is>
          <t>frac.año</t>
        </is>
      </c>
      <c r="C41" t="inlineStr">
        <is>
          <t>Base 1 de un 1-mar a otro que cruza un 29-feb</t>
        </is>
      </c>
      <c r="D41" t="inlineStr">
        <is>
          <t>YEARFRAC(DATE(2023,3,1),DATE(2024,3,1),1)</t>
        </is>
      </c>
      <c r="E41">
        <f>YEARFRAC(DATE(2023,3,1),DATE(2024,3,1),1)</f>
        <v/>
      </c>
      <c r="F41" t="inlineStr">
        <is>
          <t>A VERIFICAR. motor: 1</t>
        </is>
      </c>
    </row>
    <row r="42">
      <c r="A42" t="inlineStr">
        <is>
          <t>T6-041</t>
        </is>
      </c>
      <c r="B42" t="inlineStr">
        <is>
          <t>frac.año</t>
        </is>
      </c>
      <c r="C42" t="inlineStr">
        <is>
          <t>Fechas al revés: sale positivo</t>
        </is>
      </c>
      <c r="D42" t="inlineStr">
        <is>
          <t>YEARFRAC(DATE(2012,7,30),DATE(2012,1,1))</t>
        </is>
      </c>
      <c r="E42">
        <f>YEARFRAC(DATE(2012,7,30),DATE(2012,1,1))</f>
        <v/>
      </c>
      <c r="F42" t="inlineStr">
        <is>
          <t>motor: 0,580555555556</t>
        </is>
      </c>
    </row>
    <row r="43">
      <c r="A43" t="inlineStr">
        <is>
          <t>T6-042</t>
        </is>
      </c>
      <c r="B43" t="inlineStr">
        <is>
          <t>frac.año</t>
        </is>
      </c>
      <c r="C43" t="inlineStr">
        <is>
          <t>Base inválida</t>
        </is>
      </c>
      <c r="D43" t="inlineStr">
        <is>
          <t>YEARFRAC(DATE(2012,1,1),DATE(2012,7,30),5)</t>
        </is>
      </c>
      <c r="E43">
        <f>YEARFRAC(DATE(2012,1,1),DATE(2012,7,30),5)</f>
        <v/>
      </c>
      <c r="F43" t="inlineStr">
        <is>
          <t>motor: #NUM!</t>
        </is>
      </c>
    </row>
    <row r="44">
      <c r="A44" t="inlineStr">
        <is>
          <t>T6-043</t>
        </is>
      </c>
      <c r="B44" t="inlineStr">
        <is>
          <t>sifecha</t>
        </is>
      </c>
      <c r="C44" t="inlineStr">
        <is>
          <t>Años completos</t>
        </is>
      </c>
      <c r="D44" t="inlineStr">
        <is>
          <t>DATEDIF(DATE(2001,1,1),DATE(2003,1,1),"Y")</t>
        </is>
      </c>
      <c r="E44">
        <f>DATEDIF(DATE(2001,1,1),DATE(2003,1,1),"Y")</f>
        <v/>
      </c>
      <c r="F44" t="inlineStr">
        <is>
          <t>2 (Microsoft). motor: 2</t>
        </is>
      </c>
    </row>
    <row r="45">
      <c r="A45" t="inlineStr">
        <is>
          <t>T6-044</t>
        </is>
      </c>
      <c r="B45" t="inlineStr">
        <is>
          <t>sifecha</t>
        </is>
      </c>
      <c r="C45" t="inlineStr">
        <is>
          <t>Días</t>
        </is>
      </c>
      <c r="D45" t="inlineStr">
        <is>
          <t>DATEDIF(DATE(2001,6,1),DATE(2002,8,15),"D")</t>
        </is>
      </c>
      <c r="E45">
        <f>DATEDIF(DATE(2001,6,1),DATE(2002,8,15),"D")</f>
        <v/>
      </c>
      <c r="F45" t="inlineStr">
        <is>
          <t>440 (Microsoft). motor: 440</t>
        </is>
      </c>
    </row>
    <row r="46">
      <c r="A46" t="inlineStr">
        <is>
          <t>T6-045</t>
        </is>
      </c>
      <c r="B46" t="inlineStr">
        <is>
          <t>sifecha</t>
        </is>
      </c>
      <c r="C46" t="inlineStr">
        <is>
          <t>Días sin contar los años</t>
        </is>
      </c>
      <c r="D46" t="inlineStr">
        <is>
          <t>DATEDIF(DATE(2001,6,1),DATE(2002,8,15),"YD")</t>
        </is>
      </c>
      <c r="E46">
        <f>DATEDIF(DATE(2001,6,1),DATE(2002,8,15),"YD")</f>
        <v/>
      </c>
      <c r="F46" t="inlineStr">
        <is>
          <t>75 (Microsoft). motor: 75</t>
        </is>
      </c>
    </row>
    <row r="47">
      <c r="A47" t="inlineStr">
        <is>
          <t>T6-046</t>
        </is>
      </c>
      <c r="B47" t="inlineStr">
        <is>
          <t>sifecha</t>
        </is>
      </c>
      <c r="C47" t="inlineStr">
        <is>
          <t>Meses completos desde un 31</t>
        </is>
      </c>
      <c r="D47" t="inlineStr">
        <is>
          <t>DATEDIF(DATE(2024,1,31),DATE(2024,3,30),"M")</t>
        </is>
      </c>
      <c r="E47">
        <f>DATEDIF(DATE(2024,1,31),DATE(2024,3,30),"M")</f>
        <v/>
      </c>
      <c r="F47" t="inlineStr">
        <is>
          <t>A VERIFICAR. motor: 1</t>
        </is>
      </c>
    </row>
    <row r="48">
      <c r="A48" t="inlineStr">
        <is>
          <t>T6-047</t>
        </is>
      </c>
      <c r="B48" t="inlineStr">
        <is>
          <t>sifecha</t>
        </is>
      </c>
      <c r="C48" t="inlineStr">
        <is>
          <t>MD desde un 31 (Microsoft avisa de que falla)</t>
        </is>
      </c>
      <c r="D48" t="inlineStr">
        <is>
          <t>DATEDIF(DATE(2024,1,31),DATE(2024,3,1),"MD")</t>
        </is>
      </c>
      <c r="E48">
        <f>DATEDIF(DATE(2024,1,31),DATE(2024,3,1),"MD")</f>
        <v/>
      </c>
      <c r="F48" t="inlineStr">
        <is>
          <t>A VERIFICAR. motor: -1</t>
        </is>
      </c>
    </row>
    <row r="49">
      <c r="A49" t="inlineStr">
        <is>
          <t>T6-048</t>
        </is>
      </c>
      <c r="B49" t="inlineStr">
        <is>
          <t>sifecha</t>
        </is>
      </c>
      <c r="C49" t="inlineStr">
        <is>
          <t>Meses sin contar los años</t>
        </is>
      </c>
      <c r="D49" t="inlineStr">
        <is>
          <t>DATEDIF(DATE(2024,1,15),DATE(2025,3,20),"YM")</t>
        </is>
      </c>
      <c r="E49">
        <f>DATEDIF(DATE(2024,1,15),DATE(2025,3,20),"YM")</f>
        <v/>
      </c>
      <c r="F49" t="inlineStr">
        <is>
          <t>motor: 2</t>
        </is>
      </c>
    </row>
    <row r="50">
      <c r="A50" t="inlineStr">
        <is>
          <t>T6-049</t>
        </is>
      </c>
      <c r="B50" t="inlineStr">
        <is>
          <t>sifecha</t>
        </is>
      </c>
      <c r="C50" t="inlineStr">
        <is>
          <t>Inicio posterior al fin</t>
        </is>
      </c>
      <c r="D50" t="inlineStr">
        <is>
          <t>DATEDIF(DATE(2003,1,1),DATE(2001,1,1),"Y")</t>
        </is>
      </c>
      <c r="E50">
        <f>DATEDIF(DATE(2003,1,1),DATE(2001,1,1),"Y")</f>
        <v/>
      </c>
      <c r="F50" t="inlineStr">
        <is>
          <t>#NUM! (Microsoft). motor: #NUM!</t>
        </is>
      </c>
    </row>
    <row r="51">
      <c r="A51" t="inlineStr">
        <is>
          <t>T6-050</t>
        </is>
      </c>
      <c r="B51" t="inlineStr">
        <is>
          <t>sifecha</t>
        </is>
      </c>
      <c r="C51" t="inlineStr">
        <is>
          <t>Unidad en minúsculas</t>
        </is>
      </c>
      <c r="D51" t="inlineStr">
        <is>
          <t>DATEDIF(DATE(2001,1,1),DATE(2003,1,1),"y")</t>
        </is>
      </c>
      <c r="E51">
        <f>DATEDIF(DATE(2001,1,1),DATE(2003,1,1),"y")</f>
        <v/>
      </c>
      <c r="F51" t="inlineStr">
        <is>
          <t>A VERIFICAR. motor: 2</t>
        </is>
      </c>
    </row>
    <row r="52">
      <c r="A52" t="inlineStr">
        <is>
          <t>T6-051</t>
        </is>
      </c>
      <c r="B52" t="inlineStr">
        <is>
          <t>dias.lab</t>
        </is>
      </c>
      <c r="C52" t="inlineStr">
        <is>
          <t>Laborables de oct-2012 a mar-2013</t>
        </is>
      </c>
      <c r="D52" t="inlineStr">
        <is>
          <t>NETWORKDAYS(DATE(2012,10,1),DATE(2013,3,1))</t>
        </is>
      </c>
      <c r="E52">
        <f>NETWORKDAYS(DATE(2012,10,1),DATE(2013,3,1))</f>
        <v/>
      </c>
      <c r="F52" t="inlineStr">
        <is>
          <t>110 (Microsoft). motor: 110</t>
        </is>
      </c>
    </row>
    <row r="53">
      <c r="A53" t="inlineStr">
        <is>
          <t>T6-052</t>
        </is>
      </c>
      <c r="B53" t="inlineStr">
        <is>
          <t>dias.lab</t>
        </is>
      </c>
      <c r="C53" t="inlineStr">
        <is>
          <t>Los mismos, con tres festivos</t>
        </is>
      </c>
      <c r="D53" t="inlineStr">
        <is>
          <t>NETWORKDAYS(DATE(2012,10,1),DATE(2013,3,1),L2:L4)</t>
        </is>
      </c>
      <c r="E53">
        <f>NETWORKDAYS(DATE(2012,10,1),DATE(2013,3,1),L2:L4)</f>
        <v/>
      </c>
      <c r="F53" t="inlineStr">
        <is>
          <t>107 (Microsoft). motor: 107</t>
        </is>
      </c>
    </row>
    <row r="54">
      <c r="A54" t="inlineStr">
        <is>
          <t>T6-053</t>
        </is>
      </c>
      <c r="B54" t="inlineStr">
        <is>
          <t>dias.lab</t>
        </is>
      </c>
      <c r="C54" t="inlineStr">
        <is>
          <t>Fechas al revés</t>
        </is>
      </c>
      <c r="D54" t="inlineStr">
        <is>
          <t>NETWORKDAYS(DATE(2013,3,1),DATE(2012,10,1))</t>
        </is>
      </c>
      <c r="E54">
        <f>NETWORKDAYS(DATE(2013,3,1),DATE(2012,10,1))</f>
        <v/>
      </c>
      <c r="F54" t="inlineStr">
        <is>
          <t>A VERIFICAR. motor: -110</t>
        </is>
      </c>
    </row>
    <row r="55">
      <c r="A55" t="inlineStr">
        <is>
          <t>T6-054</t>
        </is>
      </c>
      <c r="B55" t="inlineStr">
        <is>
          <t>dias.lab</t>
        </is>
      </c>
      <c r="C55" t="inlineStr">
        <is>
          <t>Un sábado consigo mismo</t>
        </is>
      </c>
      <c r="D55" t="inlineStr">
        <is>
          <t>NETWORKDAYS(DATE(2026,9,26),DATE(2026,9,26))</t>
        </is>
      </c>
      <c r="E55">
        <f>NETWORKDAYS(DATE(2026,9,26),DATE(2026,9,26))</f>
        <v/>
      </c>
      <c r="F55" t="inlineStr">
        <is>
          <t>motor: 0</t>
        </is>
      </c>
    </row>
    <row r="56">
      <c r="A56" t="inlineStr">
        <is>
          <t>T6-055</t>
        </is>
      </c>
      <c r="B56" t="inlineStr">
        <is>
          <t>dia.lab</t>
        </is>
      </c>
      <c r="C56" t="inlineStr">
        <is>
          <t>151 laborables desde el 1-oct-2008</t>
        </is>
      </c>
      <c r="D56" t="inlineStr">
        <is>
          <t>WORKDAY(DATE(2008,10,1),151)</t>
        </is>
      </c>
      <c r="E56">
        <f>WORKDAY(DATE(2008,10,1),151)</f>
        <v/>
      </c>
      <c r="F56" t="inlineStr">
        <is>
          <t>39933 (Microsoft). motor: 39933</t>
        </is>
      </c>
    </row>
    <row r="57">
      <c r="A57" t="inlineStr">
        <is>
          <t>T6-056</t>
        </is>
      </c>
      <c r="B57" t="inlineStr">
        <is>
          <t>dia.lab</t>
        </is>
      </c>
      <c r="C57" t="inlineStr">
        <is>
          <t>Cinco laborables saltando un festivo</t>
        </is>
      </c>
      <c r="D57" t="inlineStr">
        <is>
          <t>WORKDAY(DATE(2012,11,20),5,L2:L4)</t>
        </is>
      </c>
      <c r="E57">
        <f>WORKDAY(DATE(2012,11,20),5,L2:L4)</f>
        <v/>
      </c>
      <c r="F57" t="inlineStr">
        <is>
          <t>motor: 41241</t>
        </is>
      </c>
    </row>
    <row r="58">
      <c r="A58" t="inlineStr">
        <is>
          <t>T6-057</t>
        </is>
      </c>
      <c r="B58" t="inlineStr">
        <is>
          <t>dia.lab</t>
        </is>
      </c>
      <c r="C58" t="inlineStr">
        <is>
          <t>Un laborable hacia atrás desde un lunes</t>
        </is>
      </c>
      <c r="D58" t="inlineStr">
        <is>
          <t>WORKDAY(DATE(2024,2,5),-1)</t>
        </is>
      </c>
      <c r="E58">
        <f>WORKDAY(DATE(2024,2,5),-1)</f>
        <v/>
      </c>
      <c r="F58" t="inlineStr">
        <is>
          <t>motor: 45324</t>
        </is>
      </c>
    </row>
    <row r="59">
      <c r="A59" t="inlineStr">
        <is>
          <t>T6-058</t>
        </is>
      </c>
      <c r="B59" t="inlineStr">
        <is>
          <t>dia.lab</t>
        </is>
      </c>
      <c r="C59" t="inlineStr">
        <is>
          <t>Un laborable desde un sábado</t>
        </is>
      </c>
      <c r="D59" t="inlineStr">
        <is>
          <t>WORKDAY(DATE(2026,9,26),1)</t>
        </is>
      </c>
      <c r="E59">
        <f>WORKDAY(DATE(2026,9,26),1)</f>
        <v/>
      </c>
      <c r="F59" t="inlineStr">
        <is>
          <t>motor: 46293</t>
        </is>
      </c>
    </row>
    <row r="60">
      <c r="A60" t="inlineStr">
        <is>
          <t>T6-059</t>
        </is>
      </c>
      <c r="B60" t="inlineStr">
        <is>
          <t>dia.lab</t>
        </is>
      </c>
      <c r="C60" t="inlineStr">
        <is>
          <t>Cero laborables desde un sábado</t>
        </is>
      </c>
      <c r="D60" t="inlineStr">
        <is>
          <t>WORKDAY(DATE(2026,9,26),0)</t>
        </is>
      </c>
      <c r="E60">
        <f>WORKDAY(DATE(2026,9,26),0)</f>
        <v/>
      </c>
      <c r="F60" t="inlineStr">
        <is>
          <t>A VERIFICAR. motor: 46291</t>
        </is>
      </c>
    </row>
    <row r="61">
      <c r="A61" t="inlineStr">
        <is>
          <t>T6-060</t>
        </is>
      </c>
      <c r="B61" t="inlineStr">
        <is>
          <t>fechanumero</t>
        </is>
      </c>
      <c r="C61" t="inlineStr">
        <is>
          <t>Formato ISO</t>
        </is>
      </c>
      <c r="D61" t="inlineStr">
        <is>
          <t>DATEVALUE("2011-08-22")</t>
        </is>
      </c>
      <c r="E61">
        <f>DATEVALUE("2011-08-22")</f>
        <v/>
      </c>
      <c r="F61" t="inlineStr">
        <is>
          <t>motor: 40777</t>
        </is>
      </c>
    </row>
    <row r="62">
      <c r="A62" t="inlineStr">
        <is>
          <t>T6-061</t>
        </is>
      </c>
      <c r="B62" t="inlineStr">
        <is>
          <t>fechanumero</t>
        </is>
      </c>
      <c r="C62" t="inlineStr">
        <is>
          <t>Día/mes/año en español</t>
        </is>
      </c>
      <c r="D62" t="inlineStr">
        <is>
          <t>DATEVALUE("22/8/2011")</t>
        </is>
      </c>
      <c r="E62">
        <f>DATEVALUE("22/8/2011")</f>
        <v/>
      </c>
      <c r="F62" t="inlineStr">
        <is>
          <t>motor: 40777</t>
        </is>
      </c>
    </row>
    <row r="63">
      <c r="A63" t="inlineStr">
        <is>
          <t>T6-062</t>
        </is>
      </c>
      <c r="B63" t="inlineStr">
        <is>
          <t>fechanumero</t>
        </is>
      </c>
      <c r="C63" t="inlineStr">
        <is>
          <t>Año con dos cifras</t>
        </is>
      </c>
      <c r="D63" t="inlineStr">
        <is>
          <t>DATEVALUE("22/8/11")</t>
        </is>
      </c>
      <c r="E63">
        <f>DATEVALUE("22/8/11")</f>
        <v/>
      </c>
      <c r="F63" t="inlineStr">
        <is>
          <t>A VERIFICAR. motor: 40777</t>
        </is>
      </c>
    </row>
    <row r="64">
      <c r="A64" t="inlineStr">
        <is>
          <t>T6-063</t>
        </is>
      </c>
      <c r="B64" t="inlineStr">
        <is>
          <t>fechanumero</t>
        </is>
      </c>
      <c r="C64" t="inlineStr">
        <is>
          <t>Mes abreviado en español</t>
        </is>
      </c>
      <c r="D64" t="inlineStr">
        <is>
          <t>DATEVALUE("22-ago-2011")</t>
        </is>
      </c>
      <c r="E64">
        <f>DATEVALUE("22-ago-2011")</f>
        <v/>
      </c>
      <c r="F64" t="inlineStr">
        <is>
          <t>A VERIFICAR. motor: 40777</t>
        </is>
      </c>
    </row>
    <row r="65">
      <c r="A65" t="inlineStr">
        <is>
          <t>T6-064</t>
        </is>
      </c>
      <c r="B65" t="inlineStr">
        <is>
          <t>fechanumero</t>
        </is>
      </c>
      <c r="C65" t="inlineStr">
        <is>
          <t>Mes con nombre completo</t>
        </is>
      </c>
      <c r="D65" t="inlineStr">
        <is>
          <t>DATEVALUE("22 agosto 2011")</t>
        </is>
      </c>
      <c r="E65">
        <f>DATEVALUE("22 agosto 2011")</f>
        <v/>
      </c>
      <c r="F65" t="inlineStr">
        <is>
          <t>A VERIFICAR. motor: 40777</t>
        </is>
      </c>
    </row>
    <row r="66">
      <c r="A66" t="inlineStr">
        <is>
          <t>T6-065</t>
        </is>
      </c>
      <c r="B66" t="inlineStr">
        <is>
          <t>fechanumero</t>
        </is>
      </c>
      <c r="C66" t="inlineStr">
        <is>
          <t>Un 31 de febrero</t>
        </is>
      </c>
      <c r="D66" t="inlineStr">
        <is>
          <t>DATEVALUE("31/2/2024")</t>
        </is>
      </c>
      <c r="E66">
        <f>DATEVALUE("31/2/2024")</f>
        <v/>
      </c>
      <c r="F66" t="inlineStr">
        <is>
          <t>A VERIFICAR. motor: #VALUE!</t>
        </is>
      </c>
    </row>
    <row r="67">
      <c r="A67" t="inlineStr">
        <is>
          <t>T6-066</t>
        </is>
      </c>
      <c r="B67" t="inlineStr">
        <is>
          <t>fechanumero</t>
        </is>
      </c>
      <c r="C67" t="inlineStr">
        <is>
          <t>Un texto que no es fecha</t>
        </is>
      </c>
      <c r="D67" t="inlineStr">
        <is>
          <t>DATEVALUE("mañana")</t>
        </is>
      </c>
      <c r="E67">
        <f>DATEVALUE("mañana")</f>
        <v/>
      </c>
      <c r="F67" t="inlineStr">
        <is>
          <t>motor: #VALUE!</t>
        </is>
      </c>
    </row>
    <row r="68">
      <c r="A68" t="inlineStr">
        <is>
          <t>T6-067</t>
        </is>
      </c>
      <c r="B68" t="inlineStr">
        <is>
          <t>fechanumero</t>
        </is>
      </c>
      <c r="C68" t="inlineStr">
        <is>
          <t>Con la hora detrás</t>
        </is>
      </c>
      <c r="D68" t="inlineStr">
        <is>
          <t>DATEVALUE("22/8/2011 18:30")</t>
        </is>
      </c>
      <c r="E68">
        <f>DATEVALUE("22/8/2011 18:30")</f>
        <v/>
      </c>
      <c r="F68" t="inlineStr">
        <is>
          <t>A VERIFICAR. motor: 40777</t>
        </is>
      </c>
    </row>
    <row r="69">
      <c r="A69" t="inlineStr">
        <is>
          <t>T6-068</t>
        </is>
      </c>
      <c r="B69" t="inlineStr">
        <is>
          <t>texto</t>
        </is>
      </c>
      <c r="C69" t="inlineStr">
        <is>
          <t>Letras sin escapar en el formato</t>
        </is>
      </c>
      <c r="D69" t="inlineStr">
        <is>
          <t>TEXT(5,"0 kg")</t>
        </is>
      </c>
      <c r="E69">
        <f>TEXT(5,"0 kg")</f>
        <v/>
      </c>
      <c r="F69" t="inlineStr">
        <is>
          <t>A VERIFICAR. motor: #VALUE!</t>
        </is>
      </c>
    </row>
    <row r="70">
      <c r="A70" t="inlineStr">
        <is>
          <t>T6-069</t>
        </is>
      </c>
      <c r="B70" t="inlineStr">
        <is>
          <t>texto</t>
        </is>
      </c>
      <c r="C70" t="inlineStr">
        <is>
          <t>Las mismas letras escapadas</t>
        </is>
      </c>
      <c r="D70" t="inlineStr">
        <is>
          <t>TEXT(5,"0 \k\g")</t>
        </is>
      </c>
      <c r="E70">
        <f>TEXT(5,"0 \k\g")</f>
        <v/>
      </c>
      <c r="F70" t="inlineStr">
        <is>
          <t>motor: "5 kg"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2026-09-23T19:14:17Z</dcterms:created>
  <dcterms:modified xsi:type="dcterms:W3CDTF">2026-09-23T19:14:17Z</dcterms:modified>
</cp:coreProperties>
</file>