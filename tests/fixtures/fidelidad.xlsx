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al\Downloads\"/>
    </mc:Choice>
  </mc:AlternateContent>
  <xr:revisionPtr revIDLastSave="0" documentId="11_4A4B8FE7C8F4DA08B85398D426C01A54101721DB" xr6:coauthVersionLast="47" xr6:coauthVersionMax="47" xr10:uidLastSave="{00000000-0000-0000-0000-000000000000}"/>
  <bookViews>
    <workbookView xWindow="-18828" yWindow="2880" windowWidth="18936" windowHeight="12456" activeTab="1" xr2:uid="{00000000-000D-0000-FFFF-FFFF00000000}"/>
  </bookViews>
  <sheets>
    <sheet name="Instrucciones" sheetId="1" r:id="rId1"/>
    <sheet name="Fidelid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<sst xmlns="http://schemas.openxmlformats.org/spreadsheetml/2006/main" count="141" uniqueCount="112">
  <si>
    <t>Libro de fidelidad — ejemplo</t>
  </si>
  <si>
    <t>Qué es esto</t>
  </si>
  <si>
    <t>Un conjunto de fórmulas de Excel reales, agrupadas por lo que prueban. El motor de simulación (fuera de Excel) las vuelve a calcular por su cuenta y se comparan los resultados celda a celda. Si algo no coincide, esa función queda marcada como no confiable hasta corregirla.</t>
  </si>
  <si>
    <t>Qué tienes que hacer</t>
  </si>
  <si>
    <t>1. Abre este archivo en Excel de escritorio (Windows o Mac), no en un visor web.</t>
  </si>
  <si>
    <t>2. Si alguna celda de la hoja 'Fidelidad' no muestra un valor (o Excel pregunta por macros/actualizar vínculos), pulsa F9 para forzar el recálculo.</t>
  </si>
  <si>
    <t>3. Revisa que no queden errores inesperados: los que empiezan con # en la columna 'resultado_excel' son esperados a propósito en las filas marcadas como 'caso límite' (columna 'notas') — division por cero, raíz de negativo, etc. Si ves un error en una fila que NO es un caso límite, avísame en vez de guardarlo.</t>
  </si>
  <si>
    <t>4. Guarda el archivo (Ctrl+S), sin cambiar nada más.</t>
  </si>
  <si>
    <t>5. Devuélveme el archivo guardado.</t>
  </si>
  <si>
    <t>Qué hago yo con esto</t>
  </si>
  <si>
    <t>Leo el valor que Excel calculó y quedó guardado en cada celda de la columna 'resultado_excel', y lo comparo con lo que calcula el motor. Esta es una tanda de ejemplo (unas 30 filas); el libro de fidelidad real de Fase 2 tendrá muchas más, cubriendo todo el catálogo de funciones del motor a medida que se vaya ampliando.</t>
  </si>
  <si>
    <t>id</t>
  </si>
  <si>
    <t>categoria</t>
  </si>
  <si>
    <t>descripcion</t>
  </si>
  <si>
    <t>formula_texto</t>
  </si>
  <si>
    <t>resultado_excel</t>
  </si>
  <si>
    <t>notas</t>
  </si>
  <si>
    <t>Auxiliares para SUMA/PROMEDIO/CONTAR con celda vacía</t>
  </si>
  <si>
    <t>Auxiliares CONTAR vs CONTARA (texto + vacío)</t>
  </si>
  <si>
    <t>Auxiliares SUMAPRODUCTO</t>
  </si>
  <si>
    <t>L0-001</t>
  </si>
  <si>
    <t>aritmetica</t>
  </si>
  <si>
    <t>precedencia: multiplicación antes que suma</t>
  </si>
  <si>
    <t>L0-002</t>
  </si>
  <si>
    <t>paréntesis fuerzan el orden</t>
  </si>
  <si>
    <t>texto</t>
  </si>
  <si>
    <t>L0-003</t>
  </si>
  <si>
    <t>^ asocia por la izquierda: (2^3)^2, no 2^(3^2)</t>
  </si>
  <si>
    <t>esperado: 64 (no 512)</t>
  </si>
  <si>
    <t>L0-004</t>
  </si>
  <si>
    <t>el menos unario se aplica ANTES que la potencia</t>
  </si>
  <si>
    <t>esperado: 4 (no -4)</t>
  </si>
  <si>
    <t>L0-010</t>
  </si>
  <si>
    <t>redondeo</t>
  </si>
  <si>
    <t>REDONDEAR se aleja de cero con negativos</t>
  </si>
  <si>
    <t>esperado: -3, no -2 (Math.round de JS da -2)</t>
  </si>
  <si>
    <t>L0-011</t>
  </si>
  <si>
    <t>REDONDEAR.MAS con negativo</t>
  </si>
  <si>
    <t>esperado: -3 (se aleja de cero)</t>
  </si>
  <si>
    <t>L0-012</t>
  </si>
  <si>
    <t>REDONDEAR.MENOS con negativo</t>
  </si>
  <si>
    <t>esperado: -2 (se acerca a cero)</t>
  </si>
  <si>
    <t>L0-013</t>
  </si>
  <si>
    <t>RESIDUO toma el signo del DIVISOR</t>
  </si>
  <si>
    <t>esperado: 2, no -1 (-7%3 de JS)</t>
  </si>
  <si>
    <t>L0-014</t>
  </si>
  <si>
    <t>TRUNCAR hacia cero</t>
  </si>
  <si>
    <t>esperado: -2</t>
  </si>
  <si>
    <t>L0-015</t>
  </si>
  <si>
    <t>ENTERO hacia -infinito: diverge de TRUNCAR en negativos</t>
  </si>
  <si>
    <t>esperado: -3, no -2</t>
  </si>
  <si>
    <t>L0-020</t>
  </si>
  <si>
    <t>errores</t>
  </si>
  <si>
    <t>división por cero</t>
  </si>
  <si>
    <t>caso límite: se espera #¡DIV/0!</t>
  </si>
  <si>
    <t>L0-021</t>
  </si>
  <si>
    <t>raíz cuadrada de un negativo</t>
  </si>
  <si>
    <t>caso límite: se espera #¡NUM!</t>
  </si>
  <si>
    <t>L0-022</t>
  </si>
  <si>
    <t>SI.ERROR atrapa la división por cero</t>
  </si>
  <si>
    <t>esperado: el texto "sin datos"</t>
  </si>
  <si>
    <t>L0-023</t>
  </si>
  <si>
    <t>LN de un número &lt;= 0</t>
  </si>
  <si>
    <t>L0-030</t>
  </si>
  <si>
    <t>agregacion</t>
  </si>
  <si>
    <t>SUMA con una celda vacía en medio del rango</t>
  </si>
  <si>
    <t>H3 está vacía; esperado: 40 (vacía cuenta como 0)</t>
  </si>
  <si>
    <t>L0-031</t>
  </si>
  <si>
    <t>PROMEDIO con una celda vacía en medio del rango</t>
  </si>
  <si>
    <t>esperado: 20 (promedia solo sobre las 2 celdas con valor, no divide entre 3)</t>
  </si>
  <si>
    <t>L0-032</t>
  </si>
  <si>
    <t>PROMEDIO de un rango totalmente vacío</t>
  </si>
  <si>
    <t>L0-033</t>
  </si>
  <si>
    <t>CONTAR ignora texto, solo cuenta números</t>
  </si>
  <si>
    <t>I3 es texto, I4 vacía; esperado: 1</t>
  </si>
  <si>
    <t>L0-034</t>
  </si>
  <si>
    <t>CONTARA cuenta cualquier valor no vacío, incluido texto</t>
  </si>
  <si>
    <t>esperado: 2 (número + texto, no la vacía)</t>
  </si>
  <si>
    <t>L0-035</t>
  </si>
  <si>
    <t>SUMAPRODUCTO de dos rangos</t>
  </si>
  <si>
    <t>esperado: 1*10+2*20+3*30 = 140</t>
  </si>
  <si>
    <t>L0-040</t>
  </si>
  <si>
    <t>logica</t>
  </si>
  <si>
    <t>SI con condición simple</t>
  </si>
  <si>
    <t>L0-041</t>
  </si>
  <si>
    <t>Y de dos condiciones</t>
  </si>
  <si>
    <t>L0-042</t>
  </si>
  <si>
    <t>O de dos condiciones</t>
  </si>
  <si>
    <t>esperado: FALSO</t>
  </si>
  <si>
    <t>L0-043</t>
  </si>
  <si>
    <t>NO invierte un booleano</t>
  </si>
  <si>
    <t>L0-050</t>
  </si>
  <si>
    <t>potencias-logs</t>
  </si>
  <si>
    <t>POTENCIA</t>
  </si>
  <si>
    <t>esperado: 1024</t>
  </si>
  <si>
    <t>L0-051</t>
  </si>
  <si>
    <t>EXP</t>
  </si>
  <si>
    <t>esperado: ~2.71828</t>
  </si>
  <si>
    <t>L0-052</t>
  </si>
  <si>
    <t>LN</t>
  </si>
  <si>
    <t>esperado: ~1</t>
  </si>
  <si>
    <t>L0-053</t>
  </si>
  <si>
    <t>LOG con base explícita</t>
  </si>
  <si>
    <t>esperado: 3</t>
  </si>
  <si>
    <t>L0-054</t>
  </si>
  <si>
    <t>LOG10</t>
  </si>
  <si>
    <t>L0-055</t>
  </si>
  <si>
    <t>SIGNO negativo, cero y positivo</t>
  </si>
  <si>
    <t>esperado: -1</t>
  </si>
  <si>
    <t>L0-056</t>
  </si>
  <si>
    <t>SIGNO de cero</t>
  </si>
  <si>
    <t>esperado: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</si>
</sst>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5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showGridLines="0" workbookViewId="0"/>
  </sheetViews>
  <sheetFormatPr baseColWidth="10" defaultColWidth="8.88671875" defaultRowHeight="14.4" x14ac:dyDescent="0.3"/>
  <cols>
    <col min="1" max="1" width="10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ht="30" customHeight="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ht="30" customHeight="1" x14ac:dyDescent="0.3">
      <c r="A7" s="2" t="s">
        <v>4</v>
      </c>
    </row>
    <row r="8" spans="1:1" ht="30" customHeight="1" x14ac:dyDescent="0.3">
      <c r="A8" s="2" t="s">
        <v>5</v>
      </c>
    </row>
    <row r="9" spans="1:1" ht="30" customHeight="1" x14ac:dyDescent="0.3">
      <c r="A9" s="2" t="s">
        <v>6</v>
      </c>
    </row>
    <row r="10" spans="1:1" ht="30" customHeight="1" x14ac:dyDescent="0.3">
      <c r="A10" s="2" t="s">
        <v>7</v>
      </c>
    </row>
    <row r="11" spans="1:1" ht="30" customHeight="1" x14ac:dyDescent="0.3">
      <c r="A11" s="2" t="s">
        <v>8</v>
      </c>
    </row>
    <row r="12" spans="1:1" x14ac:dyDescent="0.3">
      <c r="A12" s="2"/>
    </row>
    <row r="13" spans="1:1" x14ac:dyDescent="0.3">
      <c r="A13" s="3" t="s">
        <v>9</v>
      </c>
    </row>
    <row r="14" spans="1:1" ht="30" customHeight="1" x14ac:dyDescent="0.3">
      <c r="A1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42" customWidth="1"/>
    <col min="4" max="4" width="30" customWidth="1"/>
    <col min="5" max="5" width="16" customWidth="1"/>
    <col min="6" max="6" width="40" customWidth="1"/>
  </cols>
  <sheetData>
    <row r="1" spans="1:11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H1" t="s">
        <v>17</v>
      </c>
      <c r="I1" t="s">
        <v>18</v>
      </c>
      <c r="J1" t="s">
        <v>19</v>
      </c>
    </row>
    <row r="2" spans="1:11" x14ac:dyDescent="0.3">
      <c r="A2" s="5" t="s">
        <v>20</v>
      </c>
      <c r="B2" s="5" t="s">
        <v>21</v>
      </c>
      <c r="C2" s="5" t="s">
        <v>22</v>
      </c>
      <c r="D2" s="5">
        <f>2+3*4</f>
        <v>14</v>
      </c>
      <c r="E2" s="5">
        <f>2+3*4</f>
        <v>14</v>
      </c>
      <c r="F2" s="5"/>
      <c r="H2">
        <v>10</v>
      </c>
      <c r="I2">
        <v>5</v>
      </c>
      <c r="J2">
        <v>1</v>
      </c>
      <c r="K2">
        <v>10</v>
      </c>
    </row>
    <row r="3" spans="1:11" x14ac:dyDescent="0.3">
      <c r="A3" s="5" t="s">
        <v>23</v>
      </c>
      <c r="B3" s="5" t="s">
        <v>21</v>
      </c>
      <c r="C3" s="5" t="s">
        <v>24</v>
      </c>
      <c r="D3" s="5">
        <f>(2+3)*4</f>
        <v>20</v>
      </c>
      <c r="E3" s="5">
        <f>(2+3)*4</f>
        <v>20</v>
      </c>
      <c r="F3" s="5"/>
      <c r="I3" t="s">
        <v>25</v>
      </c>
      <c r="J3">
        <v>2</v>
      </c>
      <c r="K3">
        <v>20</v>
      </c>
    </row>
    <row r="4" spans="1:11" x14ac:dyDescent="0.3">
      <c r="A4" s="5" t="s">
        <v>26</v>
      </c>
      <c r="B4" s="5" t="s">
        <v>21</v>
      </c>
      <c r="C4" s="5" t="s">
        <v>27</v>
      </c>
      <c r="D4" s="5">
        <f>2^3^2</f>
        <v>64</v>
      </c>
      <c r="E4" s="5">
        <f>2^3^2</f>
        <v>64</v>
      </c>
      <c r="F4" s="5" t="s">
        <v>28</v>
      </c>
      <c r="H4">
        <v>30</v>
      </c>
      <c r="J4">
        <v>3</v>
      </c>
      <c r="K4">
        <v>30</v>
      </c>
    </row>
    <row r="5" spans="1:11" x14ac:dyDescent="0.3">
      <c r="A5" s="5" t="s">
        <v>29</v>
      </c>
      <c r="B5" s="5" t="s">
        <v>21</v>
      </c>
      <c r="C5" s="5" t="s">
        <v>30</v>
      </c>
      <c r="D5" s="5">
        <f>-2^2</f>
        <v>4</v>
      </c>
      <c r="E5" s="5">
        <f>-2^2</f>
        <v>4</v>
      </c>
      <c r="F5" s="5" t="s">
        <v>31</v>
      </c>
    </row>
    <row r="6" spans="1:11" x14ac:dyDescent="0.3">
      <c r="A6" s="5" t="s">
        <v>32</v>
      </c>
      <c r="B6" s="5" t="s">
        <v>33</v>
      </c>
      <c r="C6" s="5" t="s">
        <v>34</v>
      </c>
      <c r="D6" s="5">
        <f>ROUND(-2.5,0)</f>
        <v>-3</v>
      </c>
      <c r="E6" s="5">
        <f>ROUND(-2.5,0)</f>
        <v>-3</v>
      </c>
      <c r="F6" s="5" t="s">
        <v>35</v>
      </c>
    </row>
    <row r="7" spans="1:11" x14ac:dyDescent="0.3">
      <c r="A7" s="5" t="s">
        <v>36</v>
      </c>
      <c r="B7" s="5" t="s">
        <v>33</v>
      </c>
      <c r="C7" s="5" t="s">
        <v>37</v>
      </c>
      <c r="D7" s="5">
        <f>ROUNDUP(-2.1,0)</f>
        <v>-3</v>
      </c>
      <c r="E7" s="5">
        <f>ROUNDUP(-2.1,0)</f>
        <v>-3</v>
      </c>
      <c r="F7" s="5" t="s">
        <v>38</v>
      </c>
    </row>
    <row r="8" spans="1:11" x14ac:dyDescent="0.3">
      <c r="A8" s="5" t="s">
        <v>39</v>
      </c>
      <c r="B8" s="5" t="s">
        <v>33</v>
      </c>
      <c r="C8" s="5" t="s">
        <v>40</v>
      </c>
      <c r="D8" s="5">
        <f>ROUNDDOWN(-2.9,0)</f>
        <v>-2</v>
      </c>
      <c r="E8" s="5">
        <f>ROUNDDOWN(-2.9,0)</f>
        <v>-2</v>
      </c>
      <c r="F8" s="5" t="s">
        <v>41</v>
      </c>
    </row>
    <row r="9" spans="1:11" x14ac:dyDescent="0.3">
      <c r="A9" s="5" t="s">
        <v>42</v>
      </c>
      <c r="B9" s="5" t="s">
        <v>33</v>
      </c>
      <c r="C9" s="5" t="s">
        <v>43</v>
      </c>
      <c r="D9" s="5">
        <f>MOD(-7,3)</f>
        <v>2</v>
      </c>
      <c r="E9" s="5">
        <f>MOD(-7,3)</f>
        <v>2</v>
      </c>
      <c r="F9" s="5" t="s">
        <v>44</v>
      </c>
    </row>
    <row r="10" spans="1:11" x14ac:dyDescent="0.3">
      <c r="A10" s="5" t="s">
        <v>45</v>
      </c>
      <c r="B10" s="5" t="s">
        <v>33</v>
      </c>
      <c r="C10" s="5" t="s">
        <v>46</v>
      </c>
      <c r="D10" s="5">
        <f>TRUNC(-2.5)</f>
        <v>-2</v>
      </c>
      <c r="E10" s="5">
        <f>TRUNC(-2.5)</f>
        <v>-2</v>
      </c>
      <c r="F10" s="5" t="s">
        <v>47</v>
      </c>
    </row>
    <row r="11" spans="1:11" x14ac:dyDescent="0.3">
      <c r="A11" s="5" t="s">
        <v>48</v>
      </c>
      <c r="B11" s="5" t="s">
        <v>33</v>
      </c>
      <c r="C11" s="5" t="s">
        <v>49</v>
      </c>
      <c r="D11" s="5">
        <f>INT(-2.5)</f>
        <v>-3</v>
      </c>
      <c r="E11" s="5">
        <f>INT(-2.5)</f>
        <v>-3</v>
      </c>
      <c r="F11" s="5" t="s">
        <v>50</v>
      </c>
    </row>
    <row r="12" spans="1:11" x14ac:dyDescent="0.3">
      <c r="A12" s="6" t="s">
        <v>51</v>
      </c>
      <c r="B12" s="6" t="s">
        <v>52</v>
      </c>
      <c r="C12" s="6" t="s">
        <v>53</v>
      </c>
      <c r="D12" s="6" t="e">
        <f>10/0</f>
        <v>#DIV/0!</v>
      </c>
      <c r="E12" s="6" t="e">
        <f>10/0</f>
        <v>#DIV/0!</v>
      </c>
      <c r="F12" s="6" t="s">
        <v>54</v>
      </c>
    </row>
    <row r="13" spans="1:11" x14ac:dyDescent="0.3">
      <c r="A13" s="6" t="s">
        <v>55</v>
      </c>
      <c r="B13" s="6" t="s">
        <v>52</v>
      </c>
      <c r="C13" s="6" t="s">
        <v>56</v>
      </c>
      <c r="D13" s="6" t="e">
        <f>SQRT(-4)</f>
        <v>#NUM!</v>
      </c>
      <c r="E13" s="6" t="e">
        <f>SQRT(-4)</f>
        <v>#NUM!</v>
      </c>
      <c r="F13" s="6" t="s">
        <v>57</v>
      </c>
    </row>
    <row r="14" spans="1:11" x14ac:dyDescent="0.3">
      <c r="A14" s="5" t="s">
        <v>58</v>
      </c>
      <c r="B14" s="5" t="s">
        <v>52</v>
      </c>
      <c r="C14" s="5" t="s">
        <v>59</v>
      </c>
      <c r="D14" s="5" t="str">
        <f>IFERROR(10/0,"sin datos")</f>
        <v>sin datos</v>
      </c>
      <c r="E14" s="5" t="str">
        <f>IFERROR(10/0,"sin datos")</f>
        <v>sin datos</v>
      </c>
      <c r="F14" s="5" t="s">
        <v>60</v>
      </c>
    </row>
    <row r="15" spans="1:11" x14ac:dyDescent="0.3">
      <c r="A15" s="6" t="s">
        <v>61</v>
      </c>
      <c r="B15" s="6" t="s">
        <v>52</v>
      </c>
      <c r="C15" s="6" t="s">
        <v>62</v>
      </c>
      <c r="D15" s="6" t="e">
        <f>LN(0)</f>
        <v>#NUM!</v>
      </c>
      <c r="E15" s="6" t="e">
        <f>LN(0)</f>
        <v>#NUM!</v>
      </c>
      <c r="F15" s="6" t="s">
        <v>57</v>
      </c>
    </row>
    <row r="16" spans="1:11" x14ac:dyDescent="0.3">
      <c r="A16" s="5" t="s">
        <v>63</v>
      </c>
      <c r="B16" s="5" t="s">
        <v>64</v>
      </c>
      <c r="C16" s="5" t="s">
        <v>65</v>
      </c>
      <c r="D16" s="5">
        <f>SUM(H2:H4)</f>
        <v>40</v>
      </c>
      <c r="E16" s="5">
        <f>SUM(H2:H4)</f>
        <v>40</v>
      </c>
      <c r="F16" s="5" t="s">
        <v>66</v>
      </c>
    </row>
    <row r="17" spans="1:6" x14ac:dyDescent="0.3">
      <c r="A17" s="5" t="s">
        <v>67</v>
      </c>
      <c r="B17" s="5" t="s">
        <v>64</v>
      </c>
      <c r="C17" s="5" t="s">
        <v>68</v>
      </c>
      <c r="D17" s="5">
        <f>AVERAGE(H2:H4)</f>
        <v>20</v>
      </c>
      <c r="E17" s="5">
        <f>AVERAGE(H2:H4)</f>
        <v>20</v>
      </c>
      <c r="F17" s="5" t="s">
        <v>69</v>
      </c>
    </row>
    <row r="18" spans="1:6" x14ac:dyDescent="0.3">
      <c r="A18" s="6" t="s">
        <v>70</v>
      </c>
      <c r="B18" s="6" t="s">
        <v>64</v>
      </c>
      <c r="C18" s="6" t="s">
        <v>71</v>
      </c>
      <c r="D18" s="6" t="e">
        <f>AVERAGE(H10:H12)</f>
        <v>#DIV/0!</v>
      </c>
      <c r="E18" s="6" t="e">
        <f>AVERAGE(H10:H12)</f>
        <v>#DIV/0!</v>
      </c>
      <c r="F18" s="6" t="s">
        <v>54</v>
      </c>
    </row>
    <row r="19" spans="1:6" x14ac:dyDescent="0.3">
      <c r="A19" s="5" t="s">
        <v>72</v>
      </c>
      <c r="B19" s="5" t="s">
        <v>64</v>
      </c>
      <c r="C19" s="5" t="s">
        <v>73</v>
      </c>
      <c r="D19" s="5">
        <f>COUNT(I2:I4)</f>
        <v>1</v>
      </c>
      <c r="E19" s="5">
        <f>COUNT(I2:I4)</f>
        <v>1</v>
      </c>
      <c r="F19" s="5" t="s">
        <v>74</v>
      </c>
    </row>
    <row r="20" spans="1:6" x14ac:dyDescent="0.3">
      <c r="A20" s="5" t="s">
        <v>75</v>
      </c>
      <c r="B20" s="5" t="s">
        <v>64</v>
      </c>
      <c r="C20" s="5" t="s">
        <v>76</v>
      </c>
      <c r="D20" s="5">
        <f>COUNTA(I2:I4)</f>
        <v>2</v>
      </c>
      <c r="E20" s="5">
        <f>COUNTA(I2:I4)</f>
        <v>2</v>
      </c>
      <c r="F20" s="5" t="s">
        <v>77</v>
      </c>
    </row>
    <row r="21" spans="1:6" x14ac:dyDescent="0.3">
      <c r="A21" s="5" t="s">
        <v>78</v>
      </c>
      <c r="B21" s="5" t="s">
        <v>64</v>
      </c>
      <c r="C21" s="5" t="s">
        <v>79</v>
      </c>
      <c r="D21" s="5">
        <f>SUMPRODUCT(J2:J4,K2:K4)</f>
        <v>140</v>
      </c>
      <c r="E21" s="5">
        <f>SUMPRODUCT(J2:J4,K2:K4)</f>
        <v>140</v>
      </c>
      <c r="F21" s="5" t="s">
        <v>80</v>
      </c>
    </row>
    <row r="22" spans="1:6" x14ac:dyDescent="0.3">
      <c r="A22" s="5" t="s">
        <v>81</v>
      </c>
      <c r="B22" s="5" t="s">
        <v>82</v>
      </c>
      <c r="C22" s="5" t="s">
        <v>83</v>
      </c>
      <c r="D22" s="5" t="str">
        <f>IF(5&gt;3,"mayor","menor")</f>
        <v>mayor</v>
      </c>
      <c r="E22" s="5" t="str">
        <f>IF(5&gt;3,"mayor","menor")</f>
        <v>mayor</v>
      </c>
      <c r="F22" s="5"/>
    </row>
    <row r="23" spans="1:6" x14ac:dyDescent="0.3">
      <c r="A23" s="5" t="s">
        <v>84</v>
      </c>
      <c r="B23" s="5" t="s">
        <v>82</v>
      </c>
      <c r="C23" s="5" t="s">
        <v>85</v>
      </c>
      <c r="D23" s="5" t="b">
        <f>AND(TRUE,5&gt;3)</f>
        <v>1</v>
      </c>
      <c r="E23" s="5" t="b">
        <f>AND(TRUE,5&gt;3)</f>
        <v>1</v>
      </c>
      <c r="F23" s="5"/>
    </row>
    <row r="24" spans="1:6" x14ac:dyDescent="0.3">
      <c r="A24" s="5" t="s">
        <v>86</v>
      </c>
      <c r="B24" s="5" t="s">
        <v>82</v>
      </c>
      <c r="C24" s="5" t="s">
        <v>87</v>
      </c>
      <c r="D24" s="5" t="b">
        <f>OR(FALSE,5&lt;3)</f>
        <v>0</v>
      </c>
      <c r="E24" s="5" t="b">
        <f>OR(FALSE,5&lt;3)</f>
        <v>0</v>
      </c>
      <c r="F24" s="5" t="s">
        <v>88</v>
      </c>
    </row>
    <row r="25" spans="1:6" x14ac:dyDescent="0.3">
      <c r="A25" s="5" t="s">
        <v>89</v>
      </c>
      <c r="B25" s="5" t="s">
        <v>82</v>
      </c>
      <c r="C25" s="5" t="s">
        <v>90</v>
      </c>
      <c r="D25" s="5" t="b">
        <f>NOT(TRUE)</f>
        <v>0</v>
      </c>
      <c r="E25" s="5" t="b">
        <f>NOT(TRUE)</f>
        <v>0</v>
      </c>
      <c r="F25" s="5" t="s">
        <v>88</v>
      </c>
    </row>
    <row r="26" spans="1:6" x14ac:dyDescent="0.3">
      <c r="A26" s="5" t="s">
        <v>91</v>
      </c>
      <c r="B26" s="5" t="s">
        <v>92</v>
      </c>
      <c r="C26" s="5" t="s">
        <v>93</v>
      </c>
      <c r="D26" s="5">
        <f>POWER(2,10)</f>
        <v>1024</v>
      </c>
      <c r="E26" s="5">
        <f>POWER(2,10)</f>
        <v>1024</v>
      </c>
      <c r="F26" s="5" t="s">
        <v>94</v>
      </c>
    </row>
    <row r="27" spans="1:6" x14ac:dyDescent="0.3">
      <c r="A27" s="5" t="s">
        <v>95</v>
      </c>
      <c r="B27" s="5" t="s">
        <v>92</v>
      </c>
      <c r="C27" s="5" t="s">
        <v>96</v>
      </c>
      <c r="D27" s="5">
        <f>EXP(1)</f>
        <v>2.7182818284590451</v>
      </c>
      <c r="E27" s="5">
        <f>EXP(1)</f>
        <v>2.7182818284590451</v>
      </c>
      <c r="F27" s="5" t="s">
        <v>97</v>
      </c>
    </row>
    <row r="28" spans="1:6" x14ac:dyDescent="0.3">
      <c r="A28" s="5" t="s">
        <v>98</v>
      </c>
      <c r="B28" s="5" t="s">
        <v>92</v>
      </c>
      <c r="C28" s="5" t="s">
        <v>99</v>
      </c>
      <c r="D28" s="5">
        <f>LN(2.718281828)</f>
        <v>0.99999999983112664</v>
      </c>
      <c r="E28" s="5">
        <f>LN(2.718281828)</f>
        <v>0.99999999983112664</v>
      </c>
      <c r="F28" s="5" t="s">
        <v>100</v>
      </c>
    </row>
    <row r="29" spans="1:6" x14ac:dyDescent="0.3">
      <c r="A29" s="5" t="s">
        <v>101</v>
      </c>
      <c r="B29" s="5" t="s">
        <v>92</v>
      </c>
      <c r="C29" s="5" t="s">
        <v>102</v>
      </c>
      <c r="D29" s="5">
        <f>LOG(8,2)</f>
        <v>3</v>
      </c>
      <c r="E29" s="5">
        <f>LOG(8,2)</f>
        <v>3</v>
      </c>
      <c r="F29" s="5" t="s">
        <v>103</v>
      </c>
    </row>
    <row r="30" spans="1:6" x14ac:dyDescent="0.3">
      <c r="A30" s="5" t="s">
        <v>104</v>
      </c>
      <c r="B30" s="5" t="s">
        <v>92</v>
      </c>
      <c r="C30" s="5" t="s">
        <v>105</v>
      </c>
      <c r="D30" s="5">
        <f>LOG10(1000)</f>
        <v>3</v>
      </c>
      <c r="E30" s="5">
        <f>LOG10(1000)</f>
        <v>3</v>
      </c>
      <c r="F30" s="5" t="s">
        <v>103</v>
      </c>
    </row>
    <row r="31" spans="1:6" x14ac:dyDescent="0.3">
      <c r="A31" s="5" t="s">
        <v>106</v>
      </c>
      <c r="B31" s="5" t="s">
        <v>92</v>
      </c>
      <c r="C31" s="5" t="s">
        <v>107</v>
      </c>
      <c r="D31" s="5">
        <f>SIGN(-5)</f>
        <v>-1</v>
      </c>
      <c r="E31" s="5">
        <f>SIGN(-5)</f>
        <v>-1</v>
      </c>
      <c r="F31" s="5" t="s">
        <v>108</v>
      </c>
    </row>
    <row r="32" spans="1:6" x14ac:dyDescent="0.3">
      <c r="A32" s="5" t="s">
        <v>109</v>
      </c>
      <c r="B32" s="5" t="s">
        <v>92</v>
      </c>
      <c r="C32" s="5" t="s">
        <v>110</v>
      </c>
      <c r="D32" s="5">
        <f>SIGN(0)</f>
        <v>0</v>
      </c>
      <c r="E32" s="5">
        <f>SIGN(0)</f>
        <v>0</v>
      </c>
      <c r="F32" s="5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Fidelidad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Jaimes Gonzalez</cp:lastModifiedBy>
  <dcterms:created xsi:type="dcterms:W3CDTF">2026-09-16T17:07:03Z</dcterms:created>
  <dcterms:modified xsi:type="dcterms:W3CDTF">2026-09-16T17:40:48Z</dcterms:modified>
</cp:coreProperties>
</file>