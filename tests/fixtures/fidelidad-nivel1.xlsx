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al\Downloads\"/>
    </mc:Choice>
  </mc:AlternateContent>
  <xr:revisionPtr revIDLastSave="0" documentId="11_3401DEB0507254C12D7967D3525ED87656CD4CB8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de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P3" i="1"/>
  <c r="E3" i="1"/>
  <c r="E2" i="1"/>
</calcChain>
</file>

<file path=xl/sharedStrings.xml><?xml version="1.0" encoding="utf-8"?>
<sst xmlns="http://schemas.openxmlformats.org/spreadsheetml/2006/main" count="270" uniqueCount="214">
  <si>
    <t>id</t>
  </si>
  <si>
    <t>categoria</t>
  </si>
  <si>
    <t>descripcion</t>
  </si>
  <si>
    <t>formula (texto)</t>
  </si>
  <si>
    <t>resultado de Excel</t>
  </si>
  <si>
    <t>notas</t>
  </si>
  <si>
    <t>categoría</t>
  </si>
  <si>
    <t>importe</t>
  </si>
  <si>
    <t>cantidad</t>
  </si>
  <si>
    <t>con error</t>
  </si>
  <si>
    <t>comodines</t>
  </si>
  <si>
    <t>N1-001</t>
  </si>
  <si>
    <t>criterio-numerico</t>
  </si>
  <si>
    <t>SUMAR.SI con mayor que</t>
  </si>
  <si>
    <t>SUMIF(N2:N8,"&gt;1000")</t>
  </si>
  <si>
    <t>motor: 3500</t>
  </si>
  <si>
    <t>obra</t>
  </si>
  <si>
    <t>*</t>
  </si>
  <si>
    <t>N1-002</t>
  </si>
  <si>
    <t>SUMAR.SI con menor o igual</t>
  </si>
  <si>
    <t>SUMIF(N2:N8,"&lt;=700")</t>
  </si>
  <si>
    <t>motor: 1500</t>
  </si>
  <si>
    <t>suministro</t>
  </si>
  <si>
    <t>a*b</t>
  </si>
  <si>
    <t>N1-003</t>
  </si>
  <si>
    <t>SUMAR.SI con distinto de</t>
  </si>
  <si>
    <t>SUMIF(N2:N8,"&lt;&gt;1000")</t>
  </si>
  <si>
    <t>motor: 5900</t>
  </si>
  <si>
    <t>texto</t>
  </si>
  <si>
    <t>N1-004</t>
  </si>
  <si>
    <t>CONTAR.SI con mayor que</t>
  </si>
  <si>
    <t>COUNTIF(N2:N8,"&gt;1000")</t>
  </si>
  <si>
    <t>motor: 2</t>
  </si>
  <si>
    <t>transporte</t>
  </si>
  <si>
    <t>N1-005</t>
  </si>
  <si>
    <t>CONTAR.SI con un número suelto como criterio</t>
  </si>
  <si>
    <t>COUNTIF(O2:O8,5)</t>
  </si>
  <si>
    <t>motor: 1</t>
  </si>
  <si>
    <t>Obra</t>
  </si>
  <si>
    <t>N1-006</t>
  </si>
  <si>
    <t>PROMEDIO.SI con mayor que</t>
  </si>
  <si>
    <t>AVERAGEIF(N2:N8,"&gt;500")</t>
  </si>
  <si>
    <t>motor: 1220</t>
  </si>
  <si>
    <t>N1-007</t>
  </si>
  <si>
    <t>criterio-texto</t>
  </si>
  <si>
    <t>SUMAR.SI con rango de suma aparte; el texto no distingue mayúsculas</t>
  </si>
  <si>
    <t>SUMIF(M2:M8,"obra",N2:N8)</t>
  </si>
  <si>
    <t>motor: 2800 (incluye 'Obra' de M6)</t>
  </si>
  <si>
    <t>obra civil</t>
  </si>
  <si>
    <t>N1-008</t>
  </si>
  <si>
    <t>CONTAR.SI de texto, sin distinguir mayúsculas</t>
  </si>
  <si>
    <t>COUNTIF(M2:M8,"obra")</t>
  </si>
  <si>
    <t>motor: 3</t>
  </si>
  <si>
    <t>N1-009</t>
  </si>
  <si>
    <t>SUMAR.SI con comodín de cola</t>
  </si>
  <si>
    <t>SUMIF(M2:M8,"obra*",N2:N8)</t>
  </si>
  <si>
    <t>motor: 3700 (suma también 'obra civil')</t>
  </si>
  <si>
    <t>N1-010</t>
  </si>
  <si>
    <t>CONTAR.SI con comodín de un solo carácter</t>
  </si>
  <si>
    <t>COUNTIF(M2:M8,"?bra")</t>
  </si>
  <si>
    <t>N1-011</t>
  </si>
  <si>
    <t>SUMAR.SI con distinto de un texto — ¿entra la fila de categoría vacía?</t>
  </si>
  <si>
    <t>SUMIF(M2:M8,"&lt;&gt;obra",N2:N8)</t>
  </si>
  <si>
    <t>A VERIFICAR. motor: 4100 (incluye la fila 7, de categoría vacía)</t>
  </si>
  <si>
    <t>N1-012</t>
  </si>
  <si>
    <t>SUMAR.SI sin rango de suma sobre un rango de texto</t>
  </si>
  <si>
    <t>SUMIF(M2:M8,"obra")</t>
  </si>
  <si>
    <t>A VERIFICAR. motor: 0 (el rango sumado es texto)</t>
  </si>
  <si>
    <t>N1-013</t>
  </si>
  <si>
    <t>criterio-vacio</t>
  </si>
  <si>
    <t>CONTAR.SI de celdas vacías</t>
  </si>
  <si>
    <t>COUNTIF(M2:M8,"")</t>
  </si>
  <si>
    <t>A VERIFICAR. motor: 1</t>
  </si>
  <si>
    <t>N1-014</t>
  </si>
  <si>
    <t>CONTAR.SI de celdas no vacías</t>
  </si>
  <si>
    <t>COUNTIF(M2:M8,"&lt;&gt;")</t>
  </si>
  <si>
    <t>A VERIFICAR. motor: 6</t>
  </si>
  <si>
    <t>N1-015</t>
  </si>
  <si>
    <t>SUMAR.SI sobre las filas de categoría vacía</t>
  </si>
  <si>
    <t>SUMIF(M2:M8,"",N2:N8)</t>
  </si>
  <si>
    <t>A VERIFICAR. motor: 700</t>
  </si>
  <si>
    <t>N1-016</t>
  </si>
  <si>
    <t>CONTAR.SI de vacías en un rango que no tiene ninguna</t>
  </si>
  <si>
    <t>COUNTIF(N2:N8,"")</t>
  </si>
  <si>
    <t>motor: 0</t>
  </si>
  <si>
    <t>N1-017</t>
  </si>
  <si>
    <t>criterio-conjunto</t>
  </si>
  <si>
    <t>SUMAR.SI.CONJUNTO con dos criterios (el rango de suma va primero)</t>
  </si>
  <si>
    <t>SUMIFS(N2:N8,M2:M8,"obra",O2:O8,"&gt;4")</t>
  </si>
  <si>
    <t>motor: 2500</t>
  </si>
  <si>
    <t>N1-018</t>
  </si>
  <si>
    <t>CONTAR.SI.CONJUNTO con dos criterios</t>
  </si>
  <si>
    <t>COUNTIFS(M2:M8,"obra",O2:O8,"&gt;4")</t>
  </si>
  <si>
    <t>N1-019</t>
  </si>
  <si>
    <t>PROMEDIO.SI.CONJUNTO con un criterio</t>
  </si>
  <si>
    <t>AVERAGEIFS(N2:N8,M2:M8,"obra")</t>
  </si>
  <si>
    <t>motor: 933,333...</t>
  </si>
  <si>
    <t>N1-020</t>
  </si>
  <si>
    <t>CONTAR.SI.CONJUNTO con dos criterios numéricos</t>
  </si>
  <si>
    <t>COUNTIFS(N2:N8,"&gt;500",O2:O8,"&lt;6")</t>
  </si>
  <si>
    <t>N1-021</t>
  </si>
  <si>
    <t>SUMAR.SI.CONJUNTO sin ninguna coincidencia</t>
  </si>
  <si>
    <t>SUMIFS(N2:N8,M2:M8,"noexiste")</t>
  </si>
  <si>
    <t>N1-022</t>
  </si>
  <si>
    <t>PROMEDIO.SI.CONJUNTO sin ninguna coincidencia</t>
  </si>
  <si>
    <t>AVERAGEIFS(N2:N8,M2:M8,"noexiste")</t>
  </si>
  <si>
    <t>motor: #¡DIV/0!</t>
  </si>
  <si>
    <t>N1-023</t>
  </si>
  <si>
    <t>criterio-error</t>
  </si>
  <si>
    <t>CONTAR.SI sobre un rango que contiene un error</t>
  </si>
  <si>
    <t>COUNTIF(P2:P4,"&gt;0")</t>
  </si>
  <si>
    <t>A VERIFICAR. motor: 2 (ignora el error de P3)</t>
  </si>
  <si>
    <t>N1-024</t>
  </si>
  <si>
    <t>SUMAR.SI sobre un rango que contiene un error</t>
  </si>
  <si>
    <t>SUMIF(P2:P4,"&gt;0")</t>
  </si>
  <si>
    <t>A VERIFICAR. motor: 30 (el error no coincide, así que no se propaga)</t>
  </si>
  <si>
    <t>N1-025</t>
  </si>
  <si>
    <t>CONTAR.SI buscando un asterisco literal con ~</t>
  </si>
  <si>
    <t>COUNTIF(Q2:Q4,"~*")</t>
  </si>
  <si>
    <t>A VERIFICAR. motor: 1 (solo Q2, que es exactamente '*')</t>
  </si>
  <si>
    <t>N1-026</t>
  </si>
  <si>
    <t>CONTAR.SI con comodín sin escapar sobre los mismos datos</t>
  </si>
  <si>
    <t>COUNTIF(Q2:Q4,"*")</t>
  </si>
  <si>
    <t>A VERIFICAR. motor: 3 (cualquier texto)</t>
  </si>
  <si>
    <t>N1-027</t>
  </si>
  <si>
    <t>redondeo</t>
  </si>
  <si>
    <t>REDOND.MULT al múltiplo más cercano</t>
  </si>
  <si>
    <t>MROUND(17,5)</t>
  </si>
  <si>
    <t>motor: 15</t>
  </si>
  <si>
    <t>N1-028</t>
  </si>
  <si>
    <t>REDOND.MULT con ambos argumentos negativos</t>
  </si>
  <si>
    <t>MROUND(-17,-5)</t>
  </si>
  <si>
    <t>motor: -15</t>
  </si>
  <si>
    <t>N1-029</t>
  </si>
  <si>
    <t>MULTIPLO.SUPERIOR de un negativo redondea HACIA cero</t>
  </si>
  <si>
    <t>CEILING(-2.5,1)</t>
  </si>
  <si>
    <t>A VERIFICAR. motor: -2</t>
  </si>
  <si>
    <t>N1-030</t>
  </si>
  <si>
    <t>MULTIPLO.INFERIOR de un negativo se aleja de cero</t>
  </si>
  <si>
    <t>FLOOR(-2.5,1)</t>
  </si>
  <si>
    <t>A VERIFICAR. motor: -3</t>
  </si>
  <si>
    <t>N1-031</t>
  </si>
  <si>
    <t>MULTIPLO.SUPERIOR de un positivo</t>
  </si>
  <si>
    <t>CEILING(2.5,1)</t>
  </si>
  <si>
    <t>N1-032</t>
  </si>
  <si>
    <t>MULTIPLO.SUPERIOR con múltiplo negativo y valor negativo</t>
  </si>
  <si>
    <t>CEILING(-2.5,-1)</t>
  </si>
  <si>
    <t>N1-033</t>
  </si>
  <si>
    <t>estadistico</t>
  </si>
  <si>
    <t>SUMA.CUADRADOS</t>
  </si>
  <si>
    <t>SUMSQ(3,4)</t>
  </si>
  <si>
    <t>motor: 25</t>
  </si>
  <si>
    <t>N1-034</t>
  </si>
  <si>
    <t>PERCENTIL inclusivo al 90 %</t>
  </si>
  <si>
    <t>PERCENTILE(N2:N8,0.9)</t>
  </si>
  <si>
    <t>motor: 1700</t>
  </si>
  <si>
    <t>N1-035</t>
  </si>
  <si>
    <t>CUARTIL primer cuartil</t>
  </si>
  <si>
    <t>QUARTILE(N2:N8,1)</t>
  </si>
  <si>
    <t>motor: 600</t>
  </si>
  <si>
    <t>N1-036</t>
  </si>
  <si>
    <t>K.ESIMO.MAYOR, el segundo</t>
  </si>
  <si>
    <t>LARGE(N2:N8,2)</t>
  </si>
  <si>
    <t>N1-037</t>
  </si>
  <si>
    <t>K.ESIMO.MENOR, el segundo</t>
  </si>
  <si>
    <t>SMALL(N2:N8,2)</t>
  </si>
  <si>
    <t>motor: 500</t>
  </si>
  <si>
    <t>N1-038</t>
  </si>
  <si>
    <t>PERCENTIL con k fuera de rango</t>
  </si>
  <si>
    <t>PERCENTILE(N2:N8,1.5)</t>
  </si>
  <si>
    <t>motor: #¡NUM!</t>
  </si>
  <si>
    <t>N1-039</t>
  </si>
  <si>
    <t>tipo</t>
  </si>
  <si>
    <t>ESBLANCO sobre una celda de verdad vacía</t>
  </si>
  <si>
    <t>ISBLANK(M7)</t>
  </si>
  <si>
    <t>motor: VERDADERO</t>
  </si>
  <si>
    <t>N1-040</t>
  </si>
  <si>
    <t>ESBLANCO sobre una celda con valor</t>
  </si>
  <si>
    <t>ISBLANK(N7)</t>
  </si>
  <si>
    <t>motor: FALSO</t>
  </si>
  <si>
    <t>N1-041</t>
  </si>
  <si>
    <t>ESTEXTO</t>
  </si>
  <si>
    <t>ISTEXT(M2)</t>
  </si>
  <si>
    <t>N1-042</t>
  </si>
  <si>
    <t>ESNUMERO</t>
  </si>
  <si>
    <t>ISNUMBER(N2)</t>
  </si>
  <si>
    <t>N1-043</t>
  </si>
  <si>
    <t>ESERROR sobre una división por cero</t>
  </si>
  <si>
    <t>ISERROR(P3)</t>
  </si>
  <si>
    <t>N1-044</t>
  </si>
  <si>
    <t>ESERR distingue #N/A del resto de errores</t>
  </si>
  <si>
    <t>ISERR(P3)</t>
  </si>
  <si>
    <t>N1-045</t>
  </si>
  <si>
    <t>CONTAR.BLANCO sobre el rango de categorías</t>
  </si>
  <si>
    <t>COUNTBLANK(M2:M8)</t>
  </si>
  <si>
    <t>N1-046</t>
  </si>
  <si>
    <t>SI.ND atrapa #N/A</t>
  </si>
  <si>
    <t>IFNA(NA(),"ok")</t>
  </si>
  <si>
    <t>motor: el texto "ok"</t>
  </si>
  <si>
    <t>N1-047</t>
  </si>
  <si>
    <t>Concatenación con &amp;</t>
  </si>
  <si>
    <t>"a"&amp;"b"</t>
  </si>
  <si>
    <t>motor: "ab"</t>
  </si>
  <si>
    <t>N1-048</t>
  </si>
  <si>
    <t>Un número concatenado se convierte a texto en formato General</t>
  </si>
  <si>
    <t>N2&amp;""</t>
  </si>
  <si>
    <t>A VERIFICAR. motor: "1000"</t>
  </si>
  <si>
    <t>N1-049</t>
  </si>
  <si>
    <t>Un decimal concatenado — ¿coma o punto en un Excel es-ES?</t>
  </si>
  <si>
    <t>1.5&amp;""</t>
  </si>
  <si>
    <t>A VERIFICAR. motor: "1.5". Si Excel devuelve "1,5", el motor necesita configuración regional</t>
  </si>
  <si>
    <t>N1-050</t>
  </si>
  <si>
    <t>La comparación de texto no distingue mayúsculas</t>
  </si>
  <si>
    <t>M2="OBRA"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</si>
</sst>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23" workbookViewId="0"/>
  </sheetViews>
  <sheetFormatPr baseColWidth="10" defaultColWidth="8.88671875" defaultRowHeight="14.4" x14ac:dyDescent="0.3"/>
  <cols>
    <col min="1" max="1" width="9" customWidth="1"/>
    <col min="2" max="2" width="19" customWidth="1"/>
    <col min="3" max="3" width="58" customWidth="1"/>
    <col min="4" max="4" width="34" customWidth="1"/>
    <col min="5" max="5" width="16" customWidth="1"/>
    <col min="6" max="6" width="6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>
        <f>SUMIF(N2:N8,"&gt;1000")</f>
        <v>3500</v>
      </c>
      <c r="F2" t="s">
        <v>15</v>
      </c>
      <c r="M2" t="s">
        <v>16</v>
      </c>
      <c r="N2">
        <v>1000</v>
      </c>
      <c r="O2">
        <v>5</v>
      </c>
      <c r="P2">
        <v>10</v>
      </c>
      <c r="Q2" t="s">
        <v>17</v>
      </c>
    </row>
    <row r="3" spans="1:17" x14ac:dyDescent="0.3">
      <c r="A3" t="s">
        <v>18</v>
      </c>
      <c r="B3" t="s">
        <v>12</v>
      </c>
      <c r="C3" t="s">
        <v>19</v>
      </c>
      <c r="D3" t="s">
        <v>20</v>
      </c>
      <c r="E3">
        <f>SUMIF(N2:N8,"&lt;=700")</f>
        <v>1500</v>
      </c>
      <c r="F3" t="s">
        <v>21</v>
      </c>
      <c r="M3" t="s">
        <v>22</v>
      </c>
      <c r="N3">
        <v>2000</v>
      </c>
      <c r="O3">
        <v>2</v>
      </c>
      <c r="P3" t="e">
        <f>1/0</f>
        <v>#DIV/0!</v>
      </c>
      <c r="Q3" t="s">
        <v>23</v>
      </c>
    </row>
    <row r="4" spans="1:17" x14ac:dyDescent="0.3">
      <c r="A4" t="s">
        <v>24</v>
      </c>
      <c r="B4" t="s">
        <v>12</v>
      </c>
      <c r="C4" t="s">
        <v>25</v>
      </c>
      <c r="D4" t="s">
        <v>26</v>
      </c>
      <c r="E4">
        <f>SUMIF(N2:N8,"&lt;&gt;1000")</f>
        <v>5900</v>
      </c>
      <c r="F4" t="s">
        <v>27</v>
      </c>
      <c r="M4" t="s">
        <v>16</v>
      </c>
      <c r="N4">
        <v>1500</v>
      </c>
      <c r="O4">
        <v>8</v>
      </c>
      <c r="P4">
        <v>20</v>
      </c>
      <c r="Q4" t="s">
        <v>28</v>
      </c>
    </row>
    <row r="5" spans="1:17" x14ac:dyDescent="0.3">
      <c r="A5" t="s">
        <v>29</v>
      </c>
      <c r="B5" t="s">
        <v>12</v>
      </c>
      <c r="C5" t="s">
        <v>30</v>
      </c>
      <c r="D5" t="s">
        <v>31</v>
      </c>
      <c r="E5">
        <f>COUNTIF(N2:N8,"&gt;1000")</f>
        <v>2</v>
      </c>
      <c r="F5" t="s">
        <v>32</v>
      </c>
      <c r="M5" t="s">
        <v>33</v>
      </c>
      <c r="N5">
        <v>500</v>
      </c>
      <c r="O5">
        <v>1</v>
      </c>
    </row>
    <row r="6" spans="1:17" x14ac:dyDescent="0.3">
      <c r="A6" t="s">
        <v>34</v>
      </c>
      <c r="B6" t="s">
        <v>12</v>
      </c>
      <c r="C6" t="s">
        <v>35</v>
      </c>
      <c r="D6" t="s">
        <v>36</v>
      </c>
      <c r="E6">
        <f>COUNTIF(O2:O8,5)</f>
        <v>1</v>
      </c>
      <c r="F6" t="s">
        <v>37</v>
      </c>
      <c r="M6" t="s">
        <v>38</v>
      </c>
      <c r="N6">
        <v>300</v>
      </c>
      <c r="O6">
        <v>3</v>
      </c>
    </row>
    <row r="7" spans="1:17" x14ac:dyDescent="0.3">
      <c r="A7" t="s">
        <v>39</v>
      </c>
      <c r="B7" t="s">
        <v>12</v>
      </c>
      <c r="C7" t="s">
        <v>40</v>
      </c>
      <c r="D7" t="s">
        <v>41</v>
      </c>
      <c r="E7">
        <f>AVERAGEIF(N2:N8,"&gt;500")</f>
        <v>1220</v>
      </c>
      <c r="F7" t="s">
        <v>42</v>
      </c>
      <c r="N7">
        <v>700</v>
      </c>
      <c r="O7">
        <v>4</v>
      </c>
    </row>
    <row r="8" spans="1:17" x14ac:dyDescent="0.3">
      <c r="A8" t="s">
        <v>43</v>
      </c>
      <c r="B8" t="s">
        <v>44</v>
      </c>
      <c r="C8" t="s">
        <v>45</v>
      </c>
      <c r="D8" t="s">
        <v>46</v>
      </c>
      <c r="E8">
        <f>SUMIF(M2:M8,"obra",N2:N8)</f>
        <v>2800</v>
      </c>
      <c r="F8" t="s">
        <v>47</v>
      </c>
      <c r="M8" t="s">
        <v>48</v>
      </c>
      <c r="N8">
        <v>900</v>
      </c>
      <c r="O8">
        <v>6</v>
      </c>
    </row>
    <row r="9" spans="1:17" x14ac:dyDescent="0.3">
      <c r="A9" t="s">
        <v>49</v>
      </c>
      <c r="B9" t="s">
        <v>44</v>
      </c>
      <c r="C9" t="s">
        <v>50</v>
      </c>
      <c r="D9" t="s">
        <v>51</v>
      </c>
      <c r="E9">
        <f>COUNTIF(M2:M8,"obra")</f>
        <v>3</v>
      </c>
      <c r="F9" t="s">
        <v>52</v>
      </c>
    </row>
    <row r="10" spans="1:17" x14ac:dyDescent="0.3">
      <c r="A10" t="s">
        <v>53</v>
      </c>
      <c r="B10" t="s">
        <v>44</v>
      </c>
      <c r="C10" t="s">
        <v>54</v>
      </c>
      <c r="D10" t="s">
        <v>55</v>
      </c>
      <c r="E10">
        <f>SUMIF(M2:M8,"obra*",N2:N8)</f>
        <v>3700</v>
      </c>
      <c r="F10" t="s">
        <v>56</v>
      </c>
    </row>
    <row r="11" spans="1:17" x14ac:dyDescent="0.3">
      <c r="A11" t="s">
        <v>57</v>
      </c>
      <c r="B11" t="s">
        <v>44</v>
      </c>
      <c r="C11" t="s">
        <v>58</v>
      </c>
      <c r="D11" t="s">
        <v>59</v>
      </c>
      <c r="E11">
        <f>COUNTIF(M2:M8,"?bra")</f>
        <v>3</v>
      </c>
      <c r="F11" t="s">
        <v>52</v>
      </c>
    </row>
    <row r="12" spans="1:17" x14ac:dyDescent="0.3">
      <c r="A12" t="s">
        <v>60</v>
      </c>
      <c r="B12" t="s">
        <v>44</v>
      </c>
      <c r="C12" t="s">
        <v>61</v>
      </c>
      <c r="D12" t="s">
        <v>62</v>
      </c>
      <c r="E12">
        <f>SUMIF(M2:M8,"&lt;&gt;obra",N2:N8)</f>
        <v>4100</v>
      </c>
      <c r="F12" t="s">
        <v>63</v>
      </c>
    </row>
    <row r="13" spans="1:17" x14ac:dyDescent="0.3">
      <c r="A13" t="s">
        <v>64</v>
      </c>
      <c r="B13" t="s">
        <v>44</v>
      </c>
      <c r="C13" t="s">
        <v>65</v>
      </c>
      <c r="D13" t="s">
        <v>66</v>
      </c>
      <c r="E13">
        <f>SUMIF(M2:M8,"obra")</f>
        <v>0</v>
      </c>
      <c r="F13" t="s">
        <v>67</v>
      </c>
    </row>
    <row r="14" spans="1:17" x14ac:dyDescent="0.3">
      <c r="A14" t="s">
        <v>68</v>
      </c>
      <c r="B14" t="s">
        <v>69</v>
      </c>
      <c r="C14" t="s">
        <v>70</v>
      </c>
      <c r="D14" t="s">
        <v>71</v>
      </c>
      <c r="E14">
        <f>COUNTIF(M2:M8,"")</f>
        <v>1</v>
      </c>
      <c r="F14" t="s">
        <v>72</v>
      </c>
    </row>
    <row r="15" spans="1:17" x14ac:dyDescent="0.3">
      <c r="A15" t="s">
        <v>73</v>
      </c>
      <c r="B15" t="s">
        <v>69</v>
      </c>
      <c r="C15" t="s">
        <v>74</v>
      </c>
      <c r="D15" t="s">
        <v>75</v>
      </c>
      <c r="E15">
        <f>COUNTIF(M2:M8,"&lt;&gt;")</f>
        <v>6</v>
      </c>
      <c r="F15" t="s">
        <v>76</v>
      </c>
    </row>
    <row r="16" spans="1:17" x14ac:dyDescent="0.3">
      <c r="A16" t="s">
        <v>77</v>
      </c>
      <c r="B16" t="s">
        <v>69</v>
      </c>
      <c r="C16" t="s">
        <v>78</v>
      </c>
      <c r="D16" t="s">
        <v>79</v>
      </c>
      <c r="E16">
        <f>SUMIF(M2:M8,"",N2:N8)</f>
        <v>700</v>
      </c>
      <c r="F16" t="s">
        <v>80</v>
      </c>
    </row>
    <row r="17" spans="1:6" x14ac:dyDescent="0.3">
      <c r="A17" t="s">
        <v>81</v>
      </c>
      <c r="B17" t="s">
        <v>69</v>
      </c>
      <c r="C17" t="s">
        <v>82</v>
      </c>
      <c r="D17" t="s">
        <v>83</v>
      </c>
      <c r="E17">
        <f>COUNTIF(N2:N8,"")</f>
        <v>0</v>
      </c>
      <c r="F17" t="s">
        <v>84</v>
      </c>
    </row>
    <row r="18" spans="1:6" x14ac:dyDescent="0.3">
      <c r="A18" t="s">
        <v>85</v>
      </c>
      <c r="B18" t="s">
        <v>86</v>
      </c>
      <c r="C18" t="s">
        <v>87</v>
      </c>
      <c r="D18" t="s">
        <v>88</v>
      </c>
      <c r="E18">
        <f>SUMIFS(N2:N8,M2:M8,"obra",O2:O8,"&gt;4")</f>
        <v>2500</v>
      </c>
      <c r="F18" t="s">
        <v>89</v>
      </c>
    </row>
    <row r="19" spans="1:6" x14ac:dyDescent="0.3">
      <c r="A19" t="s">
        <v>90</v>
      </c>
      <c r="B19" t="s">
        <v>86</v>
      </c>
      <c r="C19" t="s">
        <v>91</v>
      </c>
      <c r="D19" t="s">
        <v>92</v>
      </c>
      <c r="E19">
        <f>COUNTIFS(M2:M8,"obra",O2:O8,"&gt;4")</f>
        <v>2</v>
      </c>
      <c r="F19" t="s">
        <v>32</v>
      </c>
    </row>
    <row r="20" spans="1:6" x14ac:dyDescent="0.3">
      <c r="A20" t="s">
        <v>93</v>
      </c>
      <c r="B20" t="s">
        <v>86</v>
      </c>
      <c r="C20" t="s">
        <v>94</v>
      </c>
      <c r="D20" t="s">
        <v>95</v>
      </c>
      <c r="E20">
        <f>AVERAGEIFS(N2:N8,M2:M8,"obra")</f>
        <v>933.33333333333337</v>
      </c>
      <c r="F20" t="s">
        <v>96</v>
      </c>
    </row>
    <row r="21" spans="1:6" x14ac:dyDescent="0.3">
      <c r="A21" t="s">
        <v>97</v>
      </c>
      <c r="B21" t="s">
        <v>86</v>
      </c>
      <c r="C21" t="s">
        <v>98</v>
      </c>
      <c r="D21" t="s">
        <v>99</v>
      </c>
      <c r="E21">
        <f>COUNTIFS(N2:N8,"&gt;500",O2:O8,"&lt;6")</f>
        <v>3</v>
      </c>
      <c r="F21" t="s">
        <v>52</v>
      </c>
    </row>
    <row r="22" spans="1:6" x14ac:dyDescent="0.3">
      <c r="A22" t="s">
        <v>100</v>
      </c>
      <c r="B22" t="s">
        <v>86</v>
      </c>
      <c r="C22" t="s">
        <v>101</v>
      </c>
      <c r="D22" t="s">
        <v>102</v>
      </c>
      <c r="E22">
        <f>SUMIFS(N2:N8,M2:M8,"noexiste")</f>
        <v>0</v>
      </c>
      <c r="F22" t="s">
        <v>84</v>
      </c>
    </row>
    <row r="23" spans="1:6" x14ac:dyDescent="0.3">
      <c r="A23" t="s">
        <v>103</v>
      </c>
      <c r="B23" t="s">
        <v>86</v>
      </c>
      <c r="C23" t="s">
        <v>104</v>
      </c>
      <c r="D23" t="s">
        <v>105</v>
      </c>
      <c r="E23" t="e">
        <f>AVERAGEIFS(N2:N8,M2:M8,"noexiste")</f>
        <v>#DIV/0!</v>
      </c>
      <c r="F23" t="s">
        <v>106</v>
      </c>
    </row>
    <row r="24" spans="1:6" x14ac:dyDescent="0.3">
      <c r="A24" t="s">
        <v>107</v>
      </c>
      <c r="B24" t="s">
        <v>108</v>
      </c>
      <c r="C24" t="s">
        <v>109</v>
      </c>
      <c r="D24" t="s">
        <v>110</v>
      </c>
      <c r="E24">
        <f>COUNTIF(P2:P4,"&gt;0")</f>
        <v>2</v>
      </c>
      <c r="F24" t="s">
        <v>111</v>
      </c>
    </row>
    <row r="25" spans="1:6" x14ac:dyDescent="0.3">
      <c r="A25" t="s">
        <v>112</v>
      </c>
      <c r="B25" t="s">
        <v>108</v>
      </c>
      <c r="C25" t="s">
        <v>113</v>
      </c>
      <c r="D25" t="s">
        <v>114</v>
      </c>
      <c r="E25">
        <f>SUMIF(P2:P4,"&gt;0")</f>
        <v>30</v>
      </c>
      <c r="F25" t="s">
        <v>115</v>
      </c>
    </row>
    <row r="26" spans="1:6" x14ac:dyDescent="0.3">
      <c r="A26" t="s">
        <v>116</v>
      </c>
      <c r="B26" t="s">
        <v>44</v>
      </c>
      <c r="C26" t="s">
        <v>117</v>
      </c>
      <c r="D26" t="s">
        <v>118</v>
      </c>
      <c r="E26">
        <f>COUNTIF(Q2:Q4,"~*")</f>
        <v>1</v>
      </c>
      <c r="F26" t="s">
        <v>119</v>
      </c>
    </row>
    <row r="27" spans="1:6" x14ac:dyDescent="0.3">
      <c r="A27" t="s">
        <v>120</v>
      </c>
      <c r="B27" t="s">
        <v>44</v>
      </c>
      <c r="C27" t="s">
        <v>121</v>
      </c>
      <c r="D27" t="s">
        <v>122</v>
      </c>
      <c r="E27">
        <f>COUNTIF(Q2:Q4,"*")</f>
        <v>3</v>
      </c>
      <c r="F27" t="s">
        <v>123</v>
      </c>
    </row>
    <row r="28" spans="1:6" x14ac:dyDescent="0.3">
      <c r="A28" t="s">
        <v>124</v>
      </c>
      <c r="B28" t="s">
        <v>125</v>
      </c>
      <c r="C28" t="s">
        <v>126</v>
      </c>
      <c r="D28" t="s">
        <v>127</v>
      </c>
      <c r="E28">
        <f>MROUND(17,5)</f>
        <v>15</v>
      </c>
      <c r="F28" t="s">
        <v>128</v>
      </c>
    </row>
    <row r="29" spans="1:6" x14ac:dyDescent="0.3">
      <c r="A29" t="s">
        <v>129</v>
      </c>
      <c r="B29" t="s">
        <v>125</v>
      </c>
      <c r="C29" t="s">
        <v>130</v>
      </c>
      <c r="D29" t="s">
        <v>131</v>
      </c>
      <c r="E29">
        <f>MROUND(-17,-5)</f>
        <v>-15</v>
      </c>
      <c r="F29" t="s">
        <v>132</v>
      </c>
    </row>
    <row r="30" spans="1:6" x14ac:dyDescent="0.3">
      <c r="A30" t="s">
        <v>133</v>
      </c>
      <c r="B30" t="s">
        <v>125</v>
      </c>
      <c r="C30" t="s">
        <v>134</v>
      </c>
      <c r="D30" t="s">
        <v>135</v>
      </c>
      <c r="E30">
        <f>CEILING(-2.5,1)</f>
        <v>-2</v>
      </c>
      <c r="F30" t="s">
        <v>136</v>
      </c>
    </row>
    <row r="31" spans="1:6" x14ac:dyDescent="0.3">
      <c r="A31" t="s">
        <v>137</v>
      </c>
      <c r="B31" t="s">
        <v>125</v>
      </c>
      <c r="C31" t="s">
        <v>138</v>
      </c>
      <c r="D31" t="s">
        <v>139</v>
      </c>
      <c r="E31">
        <f>FLOOR(-2.5,1)</f>
        <v>-3</v>
      </c>
      <c r="F31" t="s">
        <v>140</v>
      </c>
    </row>
    <row r="32" spans="1:6" x14ac:dyDescent="0.3">
      <c r="A32" t="s">
        <v>141</v>
      </c>
      <c r="B32" t="s">
        <v>125</v>
      </c>
      <c r="C32" t="s">
        <v>142</v>
      </c>
      <c r="D32" t="s">
        <v>143</v>
      </c>
      <c r="E32">
        <f>CEILING(2.5,1)</f>
        <v>3</v>
      </c>
      <c r="F32" t="s">
        <v>52</v>
      </c>
    </row>
    <row r="33" spans="1:6" x14ac:dyDescent="0.3">
      <c r="A33" t="s">
        <v>144</v>
      </c>
      <c r="B33" t="s">
        <v>125</v>
      </c>
      <c r="C33" t="s">
        <v>145</v>
      </c>
      <c r="D33" t="s">
        <v>146</v>
      </c>
      <c r="E33">
        <f>CEILING(-2.5,-1)</f>
        <v>-3</v>
      </c>
      <c r="F33" t="s">
        <v>140</v>
      </c>
    </row>
    <row r="34" spans="1:6" x14ac:dyDescent="0.3">
      <c r="A34" t="s">
        <v>147</v>
      </c>
      <c r="B34" t="s">
        <v>148</v>
      </c>
      <c r="C34" t="s">
        <v>149</v>
      </c>
      <c r="D34" t="s">
        <v>150</v>
      </c>
      <c r="E34">
        <f>SUMSQ(3,4)</f>
        <v>25</v>
      </c>
      <c r="F34" t="s">
        <v>151</v>
      </c>
    </row>
    <row r="35" spans="1:6" x14ac:dyDescent="0.3">
      <c r="A35" t="s">
        <v>152</v>
      </c>
      <c r="B35" t="s">
        <v>148</v>
      </c>
      <c r="C35" t="s">
        <v>153</v>
      </c>
      <c r="D35" t="s">
        <v>154</v>
      </c>
      <c r="E35">
        <f>PERCENTILE(N2:N8,0.9)</f>
        <v>1700.0000000000002</v>
      </c>
      <c r="F35" t="s">
        <v>155</v>
      </c>
    </row>
    <row r="36" spans="1:6" x14ac:dyDescent="0.3">
      <c r="A36" t="s">
        <v>156</v>
      </c>
      <c r="B36" t="s">
        <v>148</v>
      </c>
      <c r="C36" t="s">
        <v>157</v>
      </c>
      <c r="D36" t="s">
        <v>158</v>
      </c>
      <c r="E36">
        <f>QUARTILE(N2:N8,1)</f>
        <v>600</v>
      </c>
      <c r="F36" t="s">
        <v>159</v>
      </c>
    </row>
    <row r="37" spans="1:6" x14ac:dyDescent="0.3">
      <c r="A37" t="s">
        <v>160</v>
      </c>
      <c r="B37" t="s">
        <v>148</v>
      </c>
      <c r="C37" t="s">
        <v>161</v>
      </c>
      <c r="D37" t="s">
        <v>162</v>
      </c>
      <c r="E37">
        <f>LARGE(N2:N8,2)</f>
        <v>1500</v>
      </c>
      <c r="F37" t="s">
        <v>21</v>
      </c>
    </row>
    <row r="38" spans="1:6" x14ac:dyDescent="0.3">
      <c r="A38" t="s">
        <v>163</v>
      </c>
      <c r="B38" t="s">
        <v>148</v>
      </c>
      <c r="C38" t="s">
        <v>164</v>
      </c>
      <c r="D38" t="s">
        <v>165</v>
      </c>
      <c r="E38">
        <f>SMALL(N2:N8,2)</f>
        <v>500</v>
      </c>
      <c r="F38" t="s">
        <v>166</v>
      </c>
    </row>
    <row r="39" spans="1:6" x14ac:dyDescent="0.3">
      <c r="A39" t="s">
        <v>167</v>
      </c>
      <c r="B39" t="s">
        <v>148</v>
      </c>
      <c r="C39" t="s">
        <v>168</v>
      </c>
      <c r="D39" t="s">
        <v>169</v>
      </c>
      <c r="E39" t="e">
        <f>PERCENTILE(N2:N8,1.5)</f>
        <v>#NUM!</v>
      </c>
      <c r="F39" t="s">
        <v>170</v>
      </c>
    </row>
    <row r="40" spans="1:6" x14ac:dyDescent="0.3">
      <c r="A40" t="s">
        <v>171</v>
      </c>
      <c r="B40" t="s">
        <v>172</v>
      </c>
      <c r="C40" t="s">
        <v>173</v>
      </c>
      <c r="D40" t="s">
        <v>174</v>
      </c>
      <c r="E40" t="b">
        <f>ISBLANK(M7)</f>
        <v>1</v>
      </c>
      <c r="F40" t="s">
        <v>175</v>
      </c>
    </row>
    <row r="41" spans="1:6" x14ac:dyDescent="0.3">
      <c r="A41" t="s">
        <v>176</v>
      </c>
      <c r="B41" t="s">
        <v>172</v>
      </c>
      <c r="C41" t="s">
        <v>177</v>
      </c>
      <c r="D41" t="s">
        <v>178</v>
      </c>
      <c r="E41" t="b">
        <f>ISBLANK(N7)</f>
        <v>0</v>
      </c>
      <c r="F41" t="s">
        <v>179</v>
      </c>
    </row>
    <row r="42" spans="1:6" x14ac:dyDescent="0.3">
      <c r="A42" t="s">
        <v>180</v>
      </c>
      <c r="B42" t="s">
        <v>172</v>
      </c>
      <c r="C42" t="s">
        <v>181</v>
      </c>
      <c r="D42" t="s">
        <v>182</v>
      </c>
      <c r="E42" t="b">
        <f>ISTEXT(M2)</f>
        <v>1</v>
      </c>
      <c r="F42" t="s">
        <v>175</v>
      </c>
    </row>
    <row r="43" spans="1:6" x14ac:dyDescent="0.3">
      <c r="A43" t="s">
        <v>183</v>
      </c>
      <c r="B43" t="s">
        <v>172</v>
      </c>
      <c r="C43" t="s">
        <v>184</v>
      </c>
      <c r="D43" t="s">
        <v>185</v>
      </c>
      <c r="E43" t="b">
        <f>ISNUMBER(N2)</f>
        <v>1</v>
      </c>
      <c r="F43" t="s">
        <v>175</v>
      </c>
    </row>
    <row r="44" spans="1:6" x14ac:dyDescent="0.3">
      <c r="A44" t="s">
        <v>186</v>
      </c>
      <c r="B44" t="s">
        <v>172</v>
      </c>
      <c r="C44" t="s">
        <v>187</v>
      </c>
      <c r="D44" t="s">
        <v>188</v>
      </c>
      <c r="E44" t="b">
        <f>ISERROR(P3)</f>
        <v>1</v>
      </c>
      <c r="F44" t="s">
        <v>175</v>
      </c>
    </row>
    <row r="45" spans="1:6" x14ac:dyDescent="0.3">
      <c r="A45" t="s">
        <v>189</v>
      </c>
      <c r="B45" t="s">
        <v>172</v>
      </c>
      <c r="C45" t="s">
        <v>190</v>
      </c>
      <c r="D45" t="s">
        <v>191</v>
      </c>
      <c r="E45" t="b">
        <f>ISERR(P3)</f>
        <v>1</v>
      </c>
      <c r="F45" t="s">
        <v>175</v>
      </c>
    </row>
    <row r="46" spans="1:6" x14ac:dyDescent="0.3">
      <c r="A46" t="s">
        <v>192</v>
      </c>
      <c r="B46" t="s">
        <v>172</v>
      </c>
      <c r="C46" t="s">
        <v>193</v>
      </c>
      <c r="D46" t="s">
        <v>194</v>
      </c>
      <c r="E46">
        <f>COUNTBLANK(M2:M8)</f>
        <v>1</v>
      </c>
      <c r="F46" t="s">
        <v>37</v>
      </c>
    </row>
    <row r="47" spans="1:6" x14ac:dyDescent="0.3">
      <c r="A47" t="s">
        <v>195</v>
      </c>
      <c r="B47" t="s">
        <v>172</v>
      </c>
      <c r="C47" t="s">
        <v>196</v>
      </c>
      <c r="D47" t="s">
        <v>197</v>
      </c>
      <c r="E47" t="e">
        <f ca="1">_xludf.IFNA(NA(),"ok")</f>
        <v>#NAME?</v>
      </c>
      <c r="F47" t="s">
        <v>198</v>
      </c>
    </row>
    <row r="48" spans="1:6" x14ac:dyDescent="0.3">
      <c r="A48" t="s">
        <v>199</v>
      </c>
      <c r="B48" t="s">
        <v>28</v>
      </c>
      <c r="C48" t="s">
        <v>200</v>
      </c>
      <c r="D48" t="s">
        <v>201</v>
      </c>
      <c r="E48" t="str">
        <f>"a"&amp;"b"</f>
        <v>ab</v>
      </c>
      <c r="F48" t="s">
        <v>202</v>
      </c>
    </row>
    <row r="49" spans="1:6" x14ac:dyDescent="0.3">
      <c r="A49" t="s">
        <v>203</v>
      </c>
      <c r="B49" t="s">
        <v>28</v>
      </c>
      <c r="C49" t="s">
        <v>204</v>
      </c>
      <c r="D49" t="s">
        <v>205</v>
      </c>
      <c r="E49" t="str">
        <f>N2&amp;""</f>
        <v>1000</v>
      </c>
      <c r="F49" t="s">
        <v>206</v>
      </c>
    </row>
    <row r="50" spans="1:6" x14ac:dyDescent="0.3">
      <c r="A50" t="s">
        <v>207</v>
      </c>
      <c r="B50" t="s">
        <v>28</v>
      </c>
      <c r="C50" t="s">
        <v>208</v>
      </c>
      <c r="D50" t="s">
        <v>209</v>
      </c>
      <c r="E50" t="str">
        <f>1.5&amp;""</f>
        <v>1,5</v>
      </c>
      <c r="F50" t="s">
        <v>210</v>
      </c>
    </row>
    <row r="51" spans="1:6" x14ac:dyDescent="0.3">
      <c r="A51" t="s">
        <v>211</v>
      </c>
      <c r="B51" t="s">
        <v>28</v>
      </c>
      <c r="C51" t="s">
        <v>212</v>
      </c>
      <c r="D51" t="s">
        <v>213</v>
      </c>
      <c r="E51" t="b">
        <f>M2="OBRA"</f>
        <v>1</v>
      </c>
      <c r="F5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Fidelidad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Jaimes Gonzalez</cp:lastModifiedBy>
  <dcterms:created xsi:type="dcterms:W3CDTF">2026-09-21T03:04:36Z</dcterms:created>
  <dcterms:modified xsi:type="dcterms:W3CDTF">2026-09-21T03:09:22Z</dcterms:modified>
</cp:coreProperties>
</file>