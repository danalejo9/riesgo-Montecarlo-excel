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al\Downloads\"/>
    </mc:Choice>
  </mc:AlternateContent>
  <xr:revisionPtr revIDLastSave="0" documentId="11_43B9FFA650625FA245DB7CD3525ED87656CD5724" xr6:coauthVersionLast="47" xr6:coauthVersionMax="47" xr10:uidLastSave="{00000000-0000-0000-0000-000000000000}"/>
  <bookViews>
    <workbookView xWindow="-6105" yWindow="-20790" windowWidth="34005" windowHeight="18375" xr2:uid="{00000000-000D-0000-FFFF-FFFF00000000}"/>
  </bookViews>
  <sheets>
    <sheet name="Fidelida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<sst xmlns="http://schemas.openxmlformats.org/spreadsheetml/2006/main" count="187" uniqueCount="154">
  <si>
    <t>id</t>
  </si>
  <si>
    <t>categoria</t>
  </si>
  <si>
    <t>descripcion</t>
  </si>
  <si>
    <t>formula (texto)</t>
  </si>
  <si>
    <t>resultado de Excel</t>
  </si>
  <si>
    <t>notas</t>
  </si>
  <si>
    <t>auxiliares</t>
  </si>
  <si>
    <t>T5-001</t>
  </si>
  <si>
    <t>numero</t>
  </si>
  <si>
    <t>Miles con punto y dos decimales con coma</t>
  </si>
  <si>
    <t>TEXT(H3,"#.##0,00")</t>
  </si>
  <si>
    <t>motor: "1.234,50"</t>
  </si>
  <si>
    <t>T5-002</t>
  </si>
  <si>
    <t>Miles sin decimales</t>
  </si>
  <si>
    <t>TEXT(1234567,"#.##0")</t>
  </si>
  <si>
    <t>motor: "1.234.567"</t>
  </si>
  <si>
    <t>T5-003</t>
  </si>
  <si>
    <t>Ceros forzados a la izquierda</t>
  </si>
  <si>
    <t>TEXT(5,"000")</t>
  </si>
  <si>
    <t>motor: "005"</t>
  </si>
  <si>
    <t>T5-004</t>
  </si>
  <si>
    <t>Dos decimales forzados</t>
  </si>
  <si>
    <t>TEXT(1.5,"0,00")</t>
  </si>
  <si>
    <t>motor: "1,50"</t>
  </si>
  <si>
    <t>T5-005</t>
  </si>
  <si>
    <t>Decimales opcionales: no enseña ceros de más</t>
  </si>
  <si>
    <t>TEXT(1.5,"#,##")</t>
  </si>
  <si>
    <t>A VERIFICAR. motor: "1,5"</t>
  </si>
  <si>
    <t>T5-006</t>
  </si>
  <si>
    <t>Sin cero entero forzado</t>
  </si>
  <si>
    <t>TEXT(0.5,"#,00")</t>
  </si>
  <si>
    <t>A VERIFICAR. motor: ",50"</t>
  </si>
  <si>
    <t>T5-007</t>
  </si>
  <si>
    <t>Redondeo del 2,5 a entero</t>
  </si>
  <si>
    <t>TEXT(2.5,"0")</t>
  </si>
  <si>
    <t>motor: "3"</t>
  </si>
  <si>
    <t>T5-008</t>
  </si>
  <si>
    <t>Redondeo del -2,5 a entero</t>
  </si>
  <si>
    <t>TEXT(-2.5,"0")</t>
  </si>
  <si>
    <t>motor: "-3"</t>
  </si>
  <si>
    <t>T5-009</t>
  </si>
  <si>
    <t>Redondeo del 1,005 a dos decimales (trampa binaria)</t>
  </si>
  <si>
    <t>TEXT(1.005,"0,00")</t>
  </si>
  <si>
    <t>A VERIFICAR. motor: "1,01"</t>
  </si>
  <si>
    <t>T5-010</t>
  </si>
  <si>
    <t>Porcentaje entero</t>
  </si>
  <si>
    <t>TEXT(0.256,"0%")</t>
  </si>
  <si>
    <t>motor: "26%"</t>
  </si>
  <si>
    <t>T5-011</t>
  </si>
  <si>
    <t>Porcentaje con un decimal</t>
  </si>
  <si>
    <t>TEXT(0.256,"0,0%")</t>
  </si>
  <si>
    <t>motor: "25,6%"</t>
  </si>
  <si>
    <t>T5-012</t>
  </si>
  <si>
    <t>Un punto final escala entre mil</t>
  </si>
  <si>
    <t>TEXT(1234567,"#.##0.")</t>
  </si>
  <si>
    <t>A VERIFICAR. motor: "1.235"</t>
  </si>
  <si>
    <t>T5-013</t>
  </si>
  <si>
    <t>Dos puntos tras los decimales escalan entre un millón</t>
  </si>
  <si>
    <t>TEXT(1234567,"0,0..")</t>
  </si>
  <si>
    <t>A VERIFICAR. motor: "1,2"</t>
  </si>
  <si>
    <t>T5-014</t>
  </si>
  <si>
    <t>Símbolo de euro detrás</t>
  </si>
  <si>
    <t>TEXT(1500,"#.##0 €")</t>
  </si>
  <si>
    <t>motor: "1.500 €"</t>
  </si>
  <si>
    <t>T5-015</t>
  </si>
  <si>
    <t>Texto literal entre comillas</t>
  </si>
  <si>
    <t>TEXT(3,"0"" uds""")</t>
  </si>
  <si>
    <t>motor: "3 uds"</t>
  </si>
  <si>
    <t>T5-016</t>
  </si>
  <si>
    <t>Sección de negativos entre paréntesis</t>
  </si>
  <si>
    <t>TEXT(-5,"0;(0)")</t>
  </si>
  <si>
    <t>motor: "(5)"</t>
  </si>
  <si>
    <t>T5-017</t>
  </si>
  <si>
    <t>Sección de cero</t>
  </si>
  <si>
    <t>TEXT(0,"0;(0);""cero""")</t>
  </si>
  <si>
    <t>motor: "cero"</t>
  </si>
  <si>
    <t>T5-018</t>
  </si>
  <si>
    <t>Una sola sección con un negativo: pone el signo</t>
  </si>
  <si>
    <t>TEXT(-5,"0")</t>
  </si>
  <si>
    <t>motor: "-5"</t>
  </si>
  <si>
    <t>T5-019</t>
  </si>
  <si>
    <t>Un negativo que redondea a cero</t>
  </si>
  <si>
    <t>TEXT(-0.001,"0")</t>
  </si>
  <si>
    <t>A VERIFICAR. motor: "0"</t>
  </si>
  <si>
    <t>T5-020</t>
  </si>
  <si>
    <t>Un color se ignora</t>
  </si>
  <si>
    <t>TEXT(-5,"0;[Rojo]-0")</t>
  </si>
  <si>
    <t>A VERIFICAR. motor: "-5"</t>
  </si>
  <si>
    <t>T5-021</t>
  </si>
  <si>
    <t>Notación científica</t>
  </si>
  <si>
    <t>TEXT(12345,"0,00E+00")</t>
  </si>
  <si>
    <t>motor: "1,23E+04"</t>
  </si>
  <si>
    <t>T5-022</t>
  </si>
  <si>
    <t>Notación científica con exponente negativo</t>
  </si>
  <si>
    <t>TEXT(0.00012,"0,0E+00")</t>
  </si>
  <si>
    <t>motor: "1,2E-04"</t>
  </si>
  <si>
    <t>T5-023</t>
  </si>
  <si>
    <t>El formato General en español: ¿Estándar?</t>
  </si>
  <si>
    <t>TEXT(1.5,"Estándar")</t>
  </si>
  <si>
    <t>T5-024</t>
  </si>
  <si>
    <t>fecha</t>
  </si>
  <si>
    <t>Fecha con el año en español</t>
  </si>
  <si>
    <t>TEXT(H2,"dd/mm/aaaa")</t>
  </si>
  <si>
    <t>motor: "23/09/2026"</t>
  </si>
  <si>
    <t>T5-025</t>
  </si>
  <si>
    <t>Día y mes sin cero, año con dos cifras</t>
  </si>
  <si>
    <t>TEXT(H2,"d-m-aa")</t>
  </si>
  <si>
    <t>motor: "23-9-26"</t>
  </si>
  <si>
    <t>T5-026</t>
  </si>
  <si>
    <t>Nombre del día</t>
  </si>
  <si>
    <t>TEXT(H2,"dddd")</t>
  </si>
  <si>
    <t>motor: "miércoles"</t>
  </si>
  <si>
    <t>T5-027</t>
  </si>
  <si>
    <t>Día abreviado</t>
  </si>
  <si>
    <t>TEXT(H2,"ddd")</t>
  </si>
  <si>
    <t>A VERIFICAR. motor: "mié"</t>
  </si>
  <si>
    <t>T5-028</t>
  </si>
  <si>
    <t>Nombre del mes</t>
  </si>
  <si>
    <t>TEXT(H2,"mmmm")</t>
  </si>
  <si>
    <t>motor: "septiembre"</t>
  </si>
  <si>
    <t>T5-029</t>
  </si>
  <si>
    <t>Mes abreviado: ¿sep o sept?</t>
  </si>
  <si>
    <t>TEXT(H2,"mmm")</t>
  </si>
  <si>
    <t>A VERIFICAR. motor: "sep"</t>
  </si>
  <si>
    <t>T5-030</t>
  </si>
  <si>
    <t>Fecha larga con texto escapado</t>
  </si>
  <si>
    <t>TEXT(H2,"dddd d \d\e mmmm")</t>
  </si>
  <si>
    <t>motor: "miércoles 23 de septiembre"</t>
  </si>
  <si>
    <t>T5-031</t>
  </si>
  <si>
    <t>Los códigos en inglés dentro de un libro español</t>
  </si>
  <si>
    <t>TEXT(H2,"yyyy-mm-dd")</t>
  </si>
  <si>
    <t>A VERIFICAR. motor: "2026-09-23"</t>
  </si>
  <si>
    <t>T5-032</t>
  </si>
  <si>
    <t>hora</t>
  </si>
  <si>
    <t>Horas y minutos: la m tras la h es minuto</t>
  </si>
  <si>
    <t>TEXT(H4,"hh:mm")</t>
  </si>
  <si>
    <t>motor: "18:00"</t>
  </si>
  <si>
    <t>T5-033</t>
  </si>
  <si>
    <t>Horas, minutos y segundos</t>
  </si>
  <si>
    <t>TEXT(46288.5104166667,"h:mm:ss")</t>
  </si>
  <si>
    <t>motor: "12:15:00"</t>
  </si>
  <si>
    <t>T5-034</t>
  </si>
  <si>
    <t>Reloj de 12 horas: ¿qué escribe en vez de AM/PM?</t>
  </si>
  <si>
    <t>TEXT(H4,"h AM/PM")</t>
  </si>
  <si>
    <t>A VERIFICAR. motor: "6 PM"</t>
  </si>
  <si>
    <t>T5-035</t>
  </si>
  <si>
    <t>texto</t>
  </si>
  <si>
    <t>Un texto pasa tal cual</t>
  </si>
  <si>
    <t>TEXT("abc","0")</t>
  </si>
  <si>
    <t>motor: "abc"</t>
  </si>
  <si>
    <t>T5-036</t>
  </si>
  <si>
    <t>Un texto con cuarta sección</t>
  </si>
  <si>
    <t>TEXT("abc","0;0;0;""→""@")</t>
  </si>
  <si>
    <t>A VERIFICAR. motor: "→abc"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</si>
</sst>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tabSelected="1" workbookViewId="0"/>
  </sheetViews>
  <sheetFormatPr baseColWidth="10" defaultColWidth="8.88671875" defaultRowHeight="14.4" x14ac:dyDescent="0.3"/>
  <cols>
    <col min="1" max="1" width="9" customWidth="1"/>
    <col min="2" max="2" width="10" customWidth="1"/>
    <col min="3" max="3" width="58" customWidth="1"/>
    <col min="4" max="4" width="40" customWidth="1"/>
    <col min="5" max="5" width="26" customWidth="1"/>
    <col min="6" max="6" width="50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E2" t="str">
        <f>TEXT(H3,"#.##0,00")</f>
        <v>1.234,50</v>
      </c>
      <c r="F2" t="s">
        <v>11</v>
      </c>
      <c r="H2">
        <v>46288</v>
      </c>
    </row>
    <row r="3" spans="1:8" x14ac:dyDescent="0.3">
      <c r="A3" t="s">
        <v>12</v>
      </c>
      <c r="B3" t="s">
        <v>8</v>
      </c>
      <c r="C3" t="s">
        <v>13</v>
      </c>
      <c r="D3" t="s">
        <v>14</v>
      </c>
      <c r="E3" t="str">
        <f>TEXT(1234567,"#.##0")</f>
        <v>1.234.567</v>
      </c>
      <c r="F3" t="s">
        <v>15</v>
      </c>
      <c r="H3">
        <v>1234.5</v>
      </c>
    </row>
    <row r="4" spans="1:8" x14ac:dyDescent="0.3">
      <c r="A4" t="s">
        <v>16</v>
      </c>
      <c r="B4" t="s">
        <v>8</v>
      </c>
      <c r="C4" t="s">
        <v>17</v>
      </c>
      <c r="D4" t="s">
        <v>18</v>
      </c>
      <c r="E4" t="str">
        <f>TEXT(5,"000")</f>
        <v>005</v>
      </c>
      <c r="F4" t="s">
        <v>19</v>
      </c>
      <c r="H4">
        <v>46288.75</v>
      </c>
    </row>
    <row r="5" spans="1:8" x14ac:dyDescent="0.3">
      <c r="A5" t="s">
        <v>20</v>
      </c>
      <c r="B5" t="s">
        <v>8</v>
      </c>
      <c r="C5" t="s">
        <v>21</v>
      </c>
      <c r="D5" t="s">
        <v>22</v>
      </c>
      <c r="E5" t="str">
        <f>TEXT(1.5,"0,00")</f>
        <v>1,50</v>
      </c>
      <c r="F5" t="s">
        <v>23</v>
      </c>
    </row>
    <row r="6" spans="1:8" x14ac:dyDescent="0.3">
      <c r="A6" t="s">
        <v>24</v>
      </c>
      <c r="B6" t="s">
        <v>8</v>
      </c>
      <c r="C6" t="s">
        <v>25</v>
      </c>
      <c r="D6" t="s">
        <v>26</v>
      </c>
      <c r="E6" t="str">
        <f>TEXT(1.5,"#,##")</f>
        <v>1,5</v>
      </c>
      <c r="F6" t="s">
        <v>27</v>
      </c>
    </row>
    <row r="7" spans="1:8" x14ac:dyDescent="0.3">
      <c r="A7" t="s">
        <v>28</v>
      </c>
      <c r="B7" t="s">
        <v>8</v>
      </c>
      <c r="C7" t="s">
        <v>29</v>
      </c>
      <c r="D7" t="s">
        <v>30</v>
      </c>
      <c r="E7" t="str">
        <f>TEXT(0.5,"#,00")</f>
        <v>,50</v>
      </c>
      <c r="F7" t="s">
        <v>31</v>
      </c>
    </row>
    <row r="8" spans="1:8" x14ac:dyDescent="0.3">
      <c r="A8" t="s">
        <v>32</v>
      </c>
      <c r="B8" t="s">
        <v>8</v>
      </c>
      <c r="C8" t="s">
        <v>33</v>
      </c>
      <c r="D8" t="s">
        <v>34</v>
      </c>
      <c r="E8" t="str">
        <f>TEXT(2.5,"0")</f>
        <v>3</v>
      </c>
      <c r="F8" t="s">
        <v>35</v>
      </c>
    </row>
    <row r="9" spans="1:8" x14ac:dyDescent="0.3">
      <c r="A9" t="s">
        <v>36</v>
      </c>
      <c r="B9" t="s">
        <v>8</v>
      </c>
      <c r="C9" t="s">
        <v>37</v>
      </c>
      <c r="D9" t="s">
        <v>38</v>
      </c>
      <c r="E9" t="str">
        <f>TEXT(-2.5,"0")</f>
        <v>-3</v>
      </c>
      <c r="F9" t="s">
        <v>39</v>
      </c>
    </row>
    <row r="10" spans="1:8" x14ac:dyDescent="0.3">
      <c r="A10" t="s">
        <v>40</v>
      </c>
      <c r="B10" t="s">
        <v>8</v>
      </c>
      <c r="C10" t="s">
        <v>41</v>
      </c>
      <c r="D10" t="s">
        <v>42</v>
      </c>
      <c r="E10" t="str">
        <f>TEXT(1.005,"0,00")</f>
        <v>1,01</v>
      </c>
      <c r="F10" t="s">
        <v>43</v>
      </c>
    </row>
    <row r="11" spans="1:8" x14ac:dyDescent="0.3">
      <c r="A11" t="s">
        <v>44</v>
      </c>
      <c r="B11" t="s">
        <v>8</v>
      </c>
      <c r="C11" t="s">
        <v>45</v>
      </c>
      <c r="D11" t="s">
        <v>46</v>
      </c>
      <c r="E11" t="str">
        <f>TEXT(0.256,"0%")</f>
        <v>26%</v>
      </c>
      <c r="F11" t="s">
        <v>47</v>
      </c>
    </row>
    <row r="12" spans="1:8" x14ac:dyDescent="0.3">
      <c r="A12" t="s">
        <v>48</v>
      </c>
      <c r="B12" t="s">
        <v>8</v>
      </c>
      <c r="C12" t="s">
        <v>49</v>
      </c>
      <c r="D12" t="s">
        <v>50</v>
      </c>
      <c r="E12" t="str">
        <f>TEXT(0.256,"0,0%")</f>
        <v>25,6%</v>
      </c>
      <c r="F12" t="s">
        <v>51</v>
      </c>
    </row>
    <row r="13" spans="1:8" x14ac:dyDescent="0.3">
      <c r="A13" t="s">
        <v>52</v>
      </c>
      <c r="B13" t="s">
        <v>8</v>
      </c>
      <c r="C13" t="s">
        <v>53</v>
      </c>
      <c r="D13" t="s">
        <v>54</v>
      </c>
      <c r="E13" t="str">
        <f>TEXT(1234567,"#.##0.")</f>
        <v>1.235</v>
      </c>
      <c r="F13" t="s">
        <v>55</v>
      </c>
    </row>
    <row r="14" spans="1:8" x14ac:dyDescent="0.3">
      <c r="A14" t="s">
        <v>56</v>
      </c>
      <c r="B14" t="s">
        <v>8</v>
      </c>
      <c r="C14" t="s">
        <v>57</v>
      </c>
      <c r="D14" t="s">
        <v>58</v>
      </c>
      <c r="E14" t="str">
        <f>TEXT(1234567,"0,0..")</f>
        <v>1,2</v>
      </c>
      <c r="F14" t="s">
        <v>59</v>
      </c>
    </row>
    <row r="15" spans="1:8" x14ac:dyDescent="0.3">
      <c r="A15" t="s">
        <v>60</v>
      </c>
      <c r="B15" t="s">
        <v>8</v>
      </c>
      <c r="C15" t="s">
        <v>61</v>
      </c>
      <c r="D15" t="s">
        <v>62</v>
      </c>
      <c r="E15" t="str">
        <f>TEXT(1500,"#.##0 €")</f>
        <v>1.500 €</v>
      </c>
      <c r="F15" t="s">
        <v>63</v>
      </c>
    </row>
    <row r="16" spans="1:8" x14ac:dyDescent="0.3">
      <c r="A16" t="s">
        <v>64</v>
      </c>
      <c r="B16" t="s">
        <v>8</v>
      </c>
      <c r="C16" t="s">
        <v>65</v>
      </c>
      <c r="D16" t="s">
        <v>66</v>
      </c>
      <c r="E16" t="str">
        <f>TEXT(3,"0"" uds""")</f>
        <v>3 uds</v>
      </c>
      <c r="F16" t="s">
        <v>67</v>
      </c>
    </row>
    <row r="17" spans="1:6" x14ac:dyDescent="0.3">
      <c r="A17" t="s">
        <v>68</v>
      </c>
      <c r="B17" t="s">
        <v>8</v>
      </c>
      <c r="C17" t="s">
        <v>69</v>
      </c>
      <c r="D17" t="s">
        <v>70</v>
      </c>
      <c r="E17" t="str">
        <f>TEXT(-5,"0;(0)")</f>
        <v>(5)</v>
      </c>
      <c r="F17" t="s">
        <v>71</v>
      </c>
    </row>
    <row r="18" spans="1:6" x14ac:dyDescent="0.3">
      <c r="A18" t="s">
        <v>72</v>
      </c>
      <c r="B18" t="s">
        <v>8</v>
      </c>
      <c r="C18" t="s">
        <v>73</v>
      </c>
      <c r="D18" t="s">
        <v>74</v>
      </c>
      <c r="E18" t="str">
        <f>TEXT(0,"0;(0);""cero""")</f>
        <v>cero</v>
      </c>
      <c r="F18" t="s">
        <v>75</v>
      </c>
    </row>
    <row r="19" spans="1:6" x14ac:dyDescent="0.3">
      <c r="A19" t="s">
        <v>76</v>
      </c>
      <c r="B19" t="s">
        <v>8</v>
      </c>
      <c r="C19" t="s">
        <v>77</v>
      </c>
      <c r="D19" t="s">
        <v>78</v>
      </c>
      <c r="E19" t="str">
        <f>TEXT(-5,"0")</f>
        <v>-5</v>
      </c>
      <c r="F19" t="s">
        <v>79</v>
      </c>
    </row>
    <row r="20" spans="1:6" x14ac:dyDescent="0.3">
      <c r="A20" t="s">
        <v>80</v>
      </c>
      <c r="B20" t="s">
        <v>8</v>
      </c>
      <c r="C20" t="s">
        <v>81</v>
      </c>
      <c r="D20" t="s">
        <v>82</v>
      </c>
      <c r="E20" t="str">
        <f>TEXT(-0.001,"0")</f>
        <v>0</v>
      </c>
      <c r="F20" t="s">
        <v>83</v>
      </c>
    </row>
    <row r="21" spans="1:6" x14ac:dyDescent="0.3">
      <c r="A21" t="s">
        <v>84</v>
      </c>
      <c r="B21" t="s">
        <v>8</v>
      </c>
      <c r="C21" t="s">
        <v>85</v>
      </c>
      <c r="D21" t="s">
        <v>86</v>
      </c>
      <c r="E21" t="str">
        <f>TEXT(-5,"0;[Rojo]-0")</f>
        <v>-5</v>
      </c>
      <c r="F21" t="s">
        <v>87</v>
      </c>
    </row>
    <row r="22" spans="1:6" x14ac:dyDescent="0.3">
      <c r="A22" t="s">
        <v>88</v>
      </c>
      <c r="B22" t="s">
        <v>8</v>
      </c>
      <c r="C22" t="s">
        <v>89</v>
      </c>
      <c r="D22" t="s">
        <v>90</v>
      </c>
      <c r="E22" t="str">
        <f>TEXT(12345,"0,00E+00")</f>
        <v>1,23E+04</v>
      </c>
      <c r="F22" t="s">
        <v>91</v>
      </c>
    </row>
    <row r="23" spans="1:6" x14ac:dyDescent="0.3">
      <c r="A23" t="s">
        <v>92</v>
      </c>
      <c r="B23" t="s">
        <v>8</v>
      </c>
      <c r="C23" t="s">
        <v>93</v>
      </c>
      <c r="D23" t="s">
        <v>94</v>
      </c>
      <c r="E23" t="str">
        <f>TEXT(0.00012,"0,0E+00")</f>
        <v>1,2E-04</v>
      </c>
      <c r="F23" t="s">
        <v>95</v>
      </c>
    </row>
    <row r="24" spans="1:6" x14ac:dyDescent="0.3">
      <c r="A24" t="s">
        <v>96</v>
      </c>
      <c r="B24" t="s">
        <v>8</v>
      </c>
      <c r="C24" t="s">
        <v>97</v>
      </c>
      <c r="D24" t="s">
        <v>98</v>
      </c>
      <c r="E24" t="e">
        <f>TEXT(1.5,"Estándar")</f>
        <v>#VALUE!</v>
      </c>
      <c r="F24" t="s">
        <v>27</v>
      </c>
    </row>
    <row r="25" spans="1:6" x14ac:dyDescent="0.3">
      <c r="A25" t="s">
        <v>99</v>
      </c>
      <c r="B25" t="s">
        <v>100</v>
      </c>
      <c r="C25" t="s">
        <v>101</v>
      </c>
      <c r="D25" t="s">
        <v>102</v>
      </c>
      <c r="E25" t="str">
        <f>TEXT(H2,"dd/mm/aaaa")</f>
        <v>23/09/miércoles</v>
      </c>
      <c r="F25" t="s">
        <v>103</v>
      </c>
    </row>
    <row r="26" spans="1:6" x14ac:dyDescent="0.3">
      <c r="A26" t="s">
        <v>104</v>
      </c>
      <c r="B26" t="s">
        <v>100</v>
      </c>
      <c r="C26" t="s">
        <v>105</v>
      </c>
      <c r="D26" t="s">
        <v>106</v>
      </c>
      <c r="E26" t="str">
        <f>TEXT(H2,"d-m-aa")</f>
        <v>23-9-aa</v>
      </c>
      <c r="F26" t="s">
        <v>107</v>
      </c>
    </row>
    <row r="27" spans="1:6" x14ac:dyDescent="0.3">
      <c r="A27" t="s">
        <v>108</v>
      </c>
      <c r="B27" t="s">
        <v>100</v>
      </c>
      <c r="C27" t="s">
        <v>109</v>
      </c>
      <c r="D27" t="s">
        <v>110</v>
      </c>
      <c r="E27" t="str">
        <f>TEXT(H2,"dddd")</f>
        <v>miércoles</v>
      </c>
      <c r="F27" t="s">
        <v>111</v>
      </c>
    </row>
    <row r="28" spans="1:6" x14ac:dyDescent="0.3">
      <c r="A28" t="s">
        <v>112</v>
      </c>
      <c r="B28" t="s">
        <v>100</v>
      </c>
      <c r="C28" t="s">
        <v>113</v>
      </c>
      <c r="D28" t="s">
        <v>114</v>
      </c>
      <c r="E28" t="str">
        <f>TEXT(H2,"ddd")</f>
        <v>mié</v>
      </c>
      <c r="F28" t="s">
        <v>115</v>
      </c>
    </row>
    <row r="29" spans="1:6" x14ac:dyDescent="0.3">
      <c r="A29" t="s">
        <v>116</v>
      </c>
      <c r="B29" t="s">
        <v>100</v>
      </c>
      <c r="C29" t="s">
        <v>117</v>
      </c>
      <c r="D29" t="s">
        <v>118</v>
      </c>
      <c r="E29" t="str">
        <f>TEXT(H2,"mmmm")</f>
        <v>septiembre</v>
      </c>
      <c r="F29" t="s">
        <v>119</v>
      </c>
    </row>
    <row r="30" spans="1:6" x14ac:dyDescent="0.3">
      <c r="A30" t="s">
        <v>120</v>
      </c>
      <c r="B30" t="s">
        <v>100</v>
      </c>
      <c r="C30" t="s">
        <v>121</v>
      </c>
      <c r="D30" t="s">
        <v>122</v>
      </c>
      <c r="E30" t="str">
        <f>TEXT(H2,"mmm")</f>
        <v>sep</v>
      </c>
      <c r="F30" t="s">
        <v>123</v>
      </c>
    </row>
    <row r="31" spans="1:6" x14ac:dyDescent="0.3">
      <c r="A31" t="s">
        <v>124</v>
      </c>
      <c r="B31" t="s">
        <v>100</v>
      </c>
      <c r="C31" t="s">
        <v>125</v>
      </c>
      <c r="D31" t="s">
        <v>126</v>
      </c>
      <c r="E31" t="str">
        <f>TEXT(H2,"dddd d \d\e mmmm")</f>
        <v>miércoles 23 de septiembre</v>
      </c>
      <c r="F31" t="s">
        <v>127</v>
      </c>
    </row>
    <row r="32" spans="1:6" x14ac:dyDescent="0.3">
      <c r="A32" t="s">
        <v>128</v>
      </c>
      <c r="B32" t="s">
        <v>100</v>
      </c>
      <c r="C32" t="s">
        <v>129</v>
      </c>
      <c r="D32" t="s">
        <v>130</v>
      </c>
      <c r="E32" t="str">
        <f>TEXT(H2,"yyyy-mm-dd")</f>
        <v>2026-09-23</v>
      </c>
      <c r="F32" t="s">
        <v>131</v>
      </c>
    </row>
    <row r="33" spans="1:6" x14ac:dyDescent="0.3">
      <c r="A33" t="s">
        <v>132</v>
      </c>
      <c r="B33" t="s">
        <v>133</v>
      </c>
      <c r="C33" t="s">
        <v>134</v>
      </c>
      <c r="D33" t="s">
        <v>135</v>
      </c>
      <c r="E33" t="str">
        <f>TEXT(H4,"hh:mm")</f>
        <v>18:00</v>
      </c>
      <c r="F33" t="s">
        <v>136</v>
      </c>
    </row>
    <row r="34" spans="1:6" x14ac:dyDescent="0.3">
      <c r="A34" t="s">
        <v>137</v>
      </c>
      <c r="B34" t="s">
        <v>133</v>
      </c>
      <c r="C34" t="s">
        <v>138</v>
      </c>
      <c r="D34" t="s">
        <v>139</v>
      </c>
      <c r="E34" t="str">
        <f>TEXT(46288.5104166667,"h:mm:ss")</f>
        <v>12:15:00</v>
      </c>
      <c r="F34" t="s">
        <v>140</v>
      </c>
    </row>
    <row r="35" spans="1:6" x14ac:dyDescent="0.3">
      <c r="A35" t="s">
        <v>141</v>
      </c>
      <c r="B35" t="s">
        <v>133</v>
      </c>
      <c r="C35" t="s">
        <v>142</v>
      </c>
      <c r="D35" t="s">
        <v>143</v>
      </c>
      <c r="E35" t="str">
        <f>TEXT(H4,"h AM/PM")</f>
        <v>6 p. m.</v>
      </c>
      <c r="F35" t="s">
        <v>144</v>
      </c>
    </row>
    <row r="36" spans="1:6" x14ac:dyDescent="0.3">
      <c r="A36" t="s">
        <v>145</v>
      </c>
      <c r="B36" t="s">
        <v>146</v>
      </c>
      <c r="C36" t="s">
        <v>147</v>
      </c>
      <c r="D36" t="s">
        <v>148</v>
      </c>
      <c r="E36" t="str">
        <f>TEXT("abc","0")</f>
        <v>abc</v>
      </c>
      <c r="F36" t="s">
        <v>149</v>
      </c>
    </row>
    <row r="37" spans="1:6" x14ac:dyDescent="0.3">
      <c r="A37" t="s">
        <v>150</v>
      </c>
      <c r="B37" t="s">
        <v>146</v>
      </c>
      <c r="C37" t="s">
        <v>151</v>
      </c>
      <c r="D37" t="s">
        <v>152</v>
      </c>
      <c r="E37" t="str">
        <f>TEXT("abc","0;0;0;""→""@")</f>
        <v>→abc</v>
      </c>
      <c r="F37" t="s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Fidelidad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Alejandro Jaimes Gonzalez</cp:lastModifiedBy>
  <dcterms:created xsi:type="dcterms:W3CDTF">2026-09-23T18:52:24Z</dcterms:created>
  <dcterms:modified xsi:type="dcterms:W3CDTF">2026-09-23T18:59:40Z</dcterms:modified>
</cp:coreProperties>
</file>