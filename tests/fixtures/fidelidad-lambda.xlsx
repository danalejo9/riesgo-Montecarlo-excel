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dad" sheetId="1" state="visible" r:id="rId1"/>
    <sheet name="PengRobinson" sheetId="2" state="visible" r:id="rId2"/>
  </sheets>
  <definedNames>
    <definedName name="R_GAS">0.08314462618</definedName>
    <definedName name="TC_CO2">Fidelidad!$I$2</definedName>
    <definedName name="PC_CO2">Fidelidad!$I$3</definedName>
    <definedName name="W_CO2">Fidelidad!$I$4</definedName>
    <definedName name="PR_KAPPA">_xlfn.LAMBDA(_xlpm.w,0.37464+1.54226*_xlpm.w-0.26992*_xlpm.w^2)</definedName>
    <definedName name="PR_ALFA">_xlfn.LAMBDA(_xlpm.T,_xlpm.Tc,_xlpm.w,(1+PR_KAPPA(_xlpm.w)*(1-SQRT(_xlpm.T/_xlpm.Tc)))^2)</definedName>
    <definedName name="PR_A">_xlfn.LAMBDA(_xlpm.Tc,_xlpm.Pc,0.45724*R_GAS^2*_xlpm.Tc^2/_xlpm.Pc)</definedName>
    <definedName name="PR_B">_xlfn.LAMBDA(_xlpm.Tc,_xlpm.Pc,0.0778*R_GAS*_xlpm.Tc/_xlpm.Pc)</definedName>
    <definedName name="PR_P">_xlfn.LAMBDA(_xlpm.T,_xlpm.v,_xlpm.Tc,_xlpm.Pc,_xlpm.w,_xlfn.LET(_xlpm.a,PR_A(_xlpm.Tc,_xlpm.Pc),_xlpm.b,PR_B(_xlpm.Tc,_xlpm.Pc),R_GAS*_xlpm.T/(_xlpm.v-_xlpm.b)-_xlpm.a*PR_ALFA(_xlpm.T,_xlpm.Tc,_xlpm.w)/(_xlpm.v^2+2*_xlpm.b*_xlpm.v-_xlpm.b^2)))</definedName>
    <definedName name="PR_Z">_xlfn.LAMBDA(_xlpm.T,_xlpm.v,_xlpm.Tc,_xlpm.Pc,_xlpm.w,PR_P(_xlpm.T,_xlpm.v,_xlpm.Tc,_xlpm.Pc,_xlpm.w)*_xlpm.v/(R_GAS*_xlpm.T))</definedName>
    <definedName name="FACTREC">_xlfn.LAMBDA(_xlpm.n,IF(_xlpm.n&lt;=1,1,_xlpm.n*FACTREC(_xlpm.n-1)))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6" customWidth="1" min="3" max="3"/>
    <col width="60" customWidth="1" min="4" max="4"/>
    <col width="18" customWidth="1" min="5" max="5"/>
    <col width="30" customWidth="1" min="6" max="6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formula (texto)</t>
        </is>
      </c>
      <c r="E1" s="1" t="inlineStr">
        <is>
          <t>resultado de Excel</t>
        </is>
      </c>
      <c r="F1" s="1" t="inlineStr">
        <is>
          <t>notas</t>
        </is>
      </c>
      <c r="H1" t="inlineStr">
        <is>
          <t>T (K) · v (L/mol)</t>
        </is>
      </c>
      <c r="I1" t="inlineStr">
        <is>
          <t>Tc · Pc · ω (CO2)</t>
        </is>
      </c>
    </row>
    <row r="2">
      <c r="A2" t="inlineStr">
        <is>
          <t>L-001</t>
        </is>
      </c>
      <c r="B2" t="inlineStr">
        <is>
          <t>en línea</t>
        </is>
      </c>
      <c r="C2" t="inlineStr">
        <is>
          <t>LAMBDA invocada en la celda</t>
        </is>
      </c>
      <c r="D2" t="inlineStr">
        <is>
          <t>LAMBDA(x,x^2+1)(3)</t>
        </is>
      </c>
      <c r="E2">
        <f>_xlfn.LAMBDA(_xlpm.x,_xlpm.x^2+1)(3)</f>
        <v/>
      </c>
      <c r="F2" t="inlineStr">
        <is>
          <t>Python: 10</t>
        </is>
      </c>
      <c r="H2" t="n">
        <v>310</v>
      </c>
      <c r="I2" t="n">
        <v>304.13</v>
      </c>
    </row>
    <row r="3">
      <c r="A3" t="inlineStr">
        <is>
          <t>L-002</t>
        </is>
      </c>
      <c r="B3" t="inlineStr">
        <is>
          <t>en línea</t>
        </is>
      </c>
      <c r="C3" t="inlineStr">
        <is>
          <t>Dos parámetros</t>
        </is>
      </c>
      <c r="D3" t="inlineStr">
        <is>
          <t>LAMBDA(a,b,a*b-a)(4,5)</t>
        </is>
      </c>
      <c r="E3">
        <f>_xlfn.LAMBDA(_xlpm.a,_xlpm.b,_xlpm.a*_xlpm.b-_xlpm.a)(4,5)</f>
        <v/>
      </c>
      <c r="F3" t="inlineStr">
        <is>
          <t>Python: 16</t>
        </is>
      </c>
      <c r="H3" t="n">
        <v>0.5</v>
      </c>
      <c r="I3" t="n">
        <v>73.77</v>
      </c>
    </row>
    <row r="4">
      <c r="A4" t="inlineStr">
        <is>
          <t>L-003</t>
        </is>
      </c>
      <c r="B4" t="inlineStr">
        <is>
          <t>let</t>
        </is>
      </c>
      <c r="C4" t="inlineStr">
        <is>
          <t>LAMBDA guardada en LET, llamada dos veces</t>
        </is>
      </c>
      <c r="D4" t="inlineStr">
        <is>
          <t>LET(f,LAMBDA(x,2*x),f(7)+f(1))</t>
        </is>
      </c>
      <c r="E4">
        <f>_xlfn.LET(_xlpm.f,_xlfn.LAMBDA(_xlpm.x,2*_xlpm.x),_xlpm.f(7)+_xlpm.f(1))</f>
        <v/>
      </c>
      <c r="F4" t="inlineStr">
        <is>
          <t>Python: 16</t>
        </is>
      </c>
      <c r="I4" t="n">
        <v>0.2239</v>
      </c>
    </row>
    <row r="5">
      <c r="A5" t="inlineStr">
        <is>
          <t>L-004</t>
        </is>
      </c>
      <c r="B5" t="inlineStr">
        <is>
          <t>let</t>
        </is>
      </c>
      <c r="C5" t="inlineStr">
        <is>
          <t>La LAMBDA usa un nombre anterior del LET</t>
        </is>
      </c>
      <c r="D5" t="inlineStr">
        <is>
          <t>LET(k,10,g,LAMBDA(x,x+k),g(5))</t>
        </is>
      </c>
      <c r="E5">
        <f>_xlfn.LET(_xlpm.k,10,_xlpm.g,_xlfn.LAMBDA(_xlpm.x,_xlpm.x+_xlpm.k),_xlpm.g(5))</f>
        <v/>
      </c>
      <c r="F5" t="inlineStr">
        <is>
          <t>Python: 15</t>
        </is>
      </c>
    </row>
    <row r="6">
      <c r="A6" t="inlineStr">
        <is>
          <t>L-005</t>
        </is>
      </c>
      <c r="B6" t="inlineStr">
        <is>
          <t>en línea</t>
        </is>
      </c>
      <c r="C6" t="inlineStr">
        <is>
          <t>Celdas como argumentos</t>
        </is>
      </c>
      <c r="D6" t="inlineStr">
        <is>
          <t>LAMBDA(x,y,x/y)(H2,H3)</t>
        </is>
      </c>
      <c r="E6">
        <f>_xlfn.LAMBDA(_xlpm.x,_xlpm.y,_xlpm.x/_xlpm.y)(H2,H3)</f>
        <v/>
      </c>
      <c r="F6" t="inlineStr">
        <is>
          <t>Python: 620</t>
        </is>
      </c>
    </row>
    <row r="7">
      <c r="A7" t="inlineStr">
        <is>
          <t>L-006</t>
        </is>
      </c>
      <c r="B7" t="inlineStr">
        <is>
          <t>ámbito</t>
        </is>
      </c>
      <c r="C7" t="inlineStr">
        <is>
          <t>El parámetro tapa el nombre del LET</t>
        </is>
      </c>
      <c r="D7" t="inlineStr">
        <is>
          <t>LET(x,1,LAMBDA(x,x*100)(2))</t>
        </is>
      </c>
      <c r="E7">
        <f>_xlfn.LET(_xlpm.x,1,_xlfn.LAMBDA(_xlpm.x,_xlpm.x*100)(2))</f>
        <v/>
      </c>
      <c r="F7" t="inlineStr">
        <is>
          <t>Python: 200</t>
        </is>
      </c>
    </row>
    <row r="8">
      <c r="A8" t="inlineStr">
        <is>
          <t>L-007</t>
        </is>
      </c>
      <c r="B8" t="inlineStr">
        <is>
          <t>nombres</t>
        </is>
      </c>
      <c r="C8" t="inlineStr">
        <is>
          <t>Nombre que es una constante</t>
        </is>
      </c>
      <c r="D8" t="inlineStr">
        <is>
          <t>R_GAS*1000</t>
        </is>
      </c>
      <c r="E8">
        <f>R_GAS*1000</f>
        <v/>
      </c>
      <c r="F8" t="inlineStr">
        <is>
          <t>Python: 83.14462618</t>
        </is>
      </c>
    </row>
    <row r="9">
      <c r="A9" t="inlineStr">
        <is>
          <t>L-008</t>
        </is>
      </c>
      <c r="B9" t="inlineStr">
        <is>
          <t>nombres</t>
        </is>
      </c>
      <c r="C9" t="inlineStr">
        <is>
          <t>Nombres que son celdas</t>
        </is>
      </c>
      <c r="D9" t="inlineStr">
        <is>
          <t>TC_CO2/PC_CO2</t>
        </is>
      </c>
      <c r="E9">
        <f>TC_CO2/PC_CO2</f>
        <v/>
      </c>
      <c r="F9" t="inlineStr">
        <is>
          <t>Python: 4.12267859564</t>
        </is>
      </c>
    </row>
    <row r="10">
      <c r="A10" t="inlineStr">
        <is>
          <t>L-009</t>
        </is>
      </c>
      <c r="B10" t="inlineStr">
        <is>
          <t>con nombre</t>
        </is>
      </c>
      <c r="C10" t="inlineStr">
        <is>
          <t>PR_KAPPA(ω)</t>
        </is>
      </c>
      <c r="D10" t="inlineStr">
        <is>
          <t>PR_KAPPA(W_CO2)</t>
        </is>
      </c>
      <c r="E10">
        <f>PR_KAPPA(W_CO2)</f>
        <v/>
      </c>
      <c r="F10" t="inlineStr">
        <is>
          <t>Python: 0.706420597797</t>
        </is>
      </c>
    </row>
    <row r="11">
      <c r="A11" t="inlineStr">
        <is>
          <t>L-010</t>
        </is>
      </c>
      <c r="B11" t="inlineStr">
        <is>
          <t>con nombre</t>
        </is>
      </c>
      <c r="C11" t="inlineStr">
        <is>
          <t>PR_ALFA llama a PR_KAPPA</t>
        </is>
      </c>
      <c r="D11" t="inlineStr">
        <is>
          <t>PR_ALFA(H2,TC_CO2,W_CO2)</t>
        </is>
      </c>
      <c r="E11">
        <f>PR_ALFA(H2,TC_CO2,W_CO2)</f>
        <v/>
      </c>
      <c r="F11" t="inlineStr">
        <is>
          <t>Python: 0.986476601727</t>
        </is>
      </c>
    </row>
    <row r="12">
      <c r="A12" t="inlineStr">
        <is>
          <t>L-011</t>
        </is>
      </c>
      <c r="B12" t="inlineStr">
        <is>
          <t>con nombre</t>
        </is>
      </c>
      <c r="C12" t="inlineStr">
        <is>
          <t>PR_A (usa R_GAS)</t>
        </is>
      </c>
      <c r="D12" t="inlineStr">
        <is>
          <t>PR_A(TC_CO2,PC_CO2)</t>
        </is>
      </c>
      <c r="E12">
        <f>PR_A(TC_CO2,PC_CO2)</f>
        <v/>
      </c>
      <c r="F12" t="inlineStr">
        <is>
          <t>Python: 3.96324870713</t>
        </is>
      </c>
    </row>
    <row r="13">
      <c r="A13" t="inlineStr">
        <is>
          <t>L-012</t>
        </is>
      </c>
      <c r="B13" t="inlineStr">
        <is>
          <t>con nombre</t>
        </is>
      </c>
      <c r="C13" t="inlineStr">
        <is>
          <t>PR_B</t>
        </is>
      </c>
      <c r="D13" t="inlineStr">
        <is>
          <t>PR_B(TC_CO2,PC_CO2)</t>
        </is>
      </c>
      <c r="E13">
        <f>PR_B(TC_CO2,PC_CO2)</f>
        <v/>
      </c>
      <c r="F13" t="inlineStr">
        <is>
          <t>Python: 0.0266681728</t>
        </is>
      </c>
    </row>
    <row r="14">
      <c r="A14" t="inlineStr">
        <is>
          <t>L-013</t>
        </is>
      </c>
      <c r="B14" t="inlineStr">
        <is>
          <t>con nombre</t>
        </is>
      </c>
      <c r="C14" t="inlineStr">
        <is>
          <t>Presión de Peng-Robinson (bar)</t>
        </is>
      </c>
      <c r="D14" t="inlineStr">
        <is>
          <t>PR_P(H2,H3,TC_CO2,PC_CO2,W_CO2)</t>
        </is>
      </c>
      <c r="E14">
        <f>PR_P(H2,H3,TC_CO2,PC_CO2,W_CO2)</f>
        <v/>
      </c>
      <c r="F14" t="inlineStr">
        <is>
          <t>Python: 40.2864337148</t>
        </is>
      </c>
    </row>
    <row r="15">
      <c r="A15" t="inlineStr">
        <is>
          <t>L-014</t>
        </is>
      </c>
      <c r="B15" t="inlineStr">
        <is>
          <t>con nombre</t>
        </is>
      </c>
      <c r="C15" t="inlineStr">
        <is>
          <t>Factor de compresibilidad Z</t>
        </is>
      </c>
      <c r="D15" t="inlineStr">
        <is>
          <t>PR_Z(H2,H3,TC_CO2,PC_CO2,W_CO2)</t>
        </is>
      </c>
      <c r="E15">
        <f>PR_Z(H2,H3,TC_CO2,PC_CO2,W_CO2)</f>
        <v/>
      </c>
      <c r="F15" t="inlineStr">
        <is>
          <t>Python: 0.781507138587</t>
        </is>
      </c>
    </row>
    <row r="16">
      <c r="A16" t="inlineStr">
        <is>
          <t>L-015</t>
        </is>
      </c>
      <c r="B16" t="inlineStr">
        <is>
          <t>let</t>
        </is>
      </c>
      <c r="C16" t="inlineStr">
        <is>
          <t>Peng-Robinson entera con LET y LAMBDA</t>
        </is>
      </c>
      <c r="D16" t="inlineStr">
        <is>
          <t>LET(R,0.08314462618,Tc,I2,Pc,I3,w,I4,kappa,LAMBDA(w,0.37464+1.54226*w-0.26992*w^2),alfa,LAMBDA(T,(1+kappa(w)*(1-SQRT(T/Tc)))^2),a,0.45724*R^2*Tc^2/Pc,b,0.0778*R*Tc/Pc,R*H2/(H3-b)-a*alfa(H2)/(H3^2+2*b*H3-b^2))</t>
        </is>
      </c>
      <c r="E16">
        <f>_xlfn.LET(_xlpm.R,0.08314462618,_xlpm.Tc,I2,_xlpm.Pc,I3,_xlpm.w,I4,_xlpm.kappa,_xlfn.LAMBDA(_xlpm.w,0.37464+1.54226*_xlpm.w-0.26992*_xlpm.w^2),_xlpm.alfa,_xlfn.LAMBDA(_xlpm.T,(1+_xlpm.kappa(_xlpm.w)*(1-SQRT(_xlpm.T/_xlpm.Tc)))^2),_xlpm.a,0.45724*_xlpm.R^2*_xlpm.Tc^2/_xlpm.Pc,_xlpm.b,0.0778*_xlpm.R*_xlpm.Tc/_xlpm.Pc,_xlpm.R*H2/(H3-_xlpm.b)-_xlpm.a*_xlpm.alfa(H2)/(H3^2+2*_xlpm.b*H3-_xlpm.b^2))</f>
        <v/>
      </c>
      <c r="F16" t="inlineStr">
        <is>
          <t>Python: 40.2864337148</t>
        </is>
      </c>
    </row>
    <row r="17">
      <c r="A17" t="inlineStr">
        <is>
          <t>L-016</t>
        </is>
      </c>
      <c r="B17" t="inlineStr">
        <is>
          <t>en línea</t>
        </is>
      </c>
      <c r="C17" t="inlineStr">
        <is>
          <t>Peng-Robinson en línea a 350 K y 0,3 L/mol</t>
        </is>
      </c>
      <c r="D17" t="inlineStr">
        <is>
          <t>LAMBDA(T,v,LET(R,0.08314462618,Tc,I2,Pc,I3,w,I4,kappa,0.37464+1.54226*w-0.26992*w^2,a,0.45724*R^2*Tc^2/Pc,b,0.0778*R*Tc/Pc,R*T/(v-b)-a*(1+kappa*(1-SQRT(T/Tc)))^2/(v^2+2*b*v-b^2)))(350,0.3)</t>
        </is>
      </c>
      <c r="E17">
        <f>_xlfn.LAMBDA(_xlpm.T,_xlpm.v,_xlfn.LET(_xlpm.R,0.08314462618,_xlpm.Tc,I2,_xlpm.Pc,I3,_xlpm.w,I4,_xlpm.kappa,0.37464+1.54226*_xlpm.w-0.26992*_xlpm.w^2,_xlpm.a,0.45724*_xlpm.R^2*_xlpm.Tc^2/_xlpm.Pc,_xlpm.b,0.0778*_xlpm.R*_xlpm.Tc/_xlpm.Pc,_xlpm.R*_xlpm.T/(_xlpm.v-_xlpm.b)-_xlpm.a*(1+_xlpm.kappa*(1-SQRT(_xlpm.T/_xlpm.Tc)))^2/(_xlpm.v^2+2*_xlpm.b*_xlpm.v-_xlpm.b^2)))(350,0.3)</f>
        <v/>
      </c>
      <c r="F17" t="inlineStr">
        <is>
          <t>Python: 72.5951519473</t>
        </is>
      </c>
    </row>
    <row r="18">
      <c r="A18" t="inlineStr">
        <is>
          <t>L-017</t>
        </is>
      </c>
      <c r="B18" t="inlineStr">
        <is>
          <t>con nombre</t>
        </is>
      </c>
      <c r="C18" t="inlineStr">
        <is>
          <t>Diferencia con el gas ideal</t>
        </is>
      </c>
      <c r="D18" t="inlineStr">
        <is>
          <t>PR_P(H2,H3,TC_CO2,PC_CO2,W_CO2)-R_GAS*H2/H3</t>
        </is>
      </c>
      <c r="E18">
        <f>PR_P(H2,H3,TC_CO2,PC_CO2,W_CO2)-R_GAS*H2/H3</f>
        <v/>
      </c>
      <c r="F18" t="inlineStr">
        <is>
          <t>Python: -11.2632345168</t>
        </is>
      </c>
    </row>
    <row r="19">
      <c r="A19" t="inlineStr">
        <is>
          <t>L-018</t>
        </is>
      </c>
      <c r="B19" t="inlineStr">
        <is>
          <t>con nombre</t>
        </is>
      </c>
      <c r="C19" t="inlineStr">
        <is>
          <t>Una LAMBDA con nombre como argumento de otra función</t>
        </is>
      </c>
      <c r="D19" t="inlineStr">
        <is>
          <t>ROUND(PR_P(H2,H3,I2,I3,I4),2)</t>
        </is>
      </c>
      <c r="E19">
        <f>ROUND(PR_P(H2,H3,I2,I3,I4),2)</f>
        <v/>
      </c>
      <c r="F19" t="inlineStr">
        <is>
          <t>Python: 40.29</t>
        </is>
      </c>
    </row>
    <row r="20">
      <c r="A20" t="inlineStr">
        <is>
          <t>L-019</t>
        </is>
      </c>
      <c r="B20" t="inlineStr">
        <is>
          <t>matriz</t>
        </is>
      </c>
      <c r="C20" t="inlineStr">
        <is>
          <t>LAMBDA sobre un rango, dentro de SUMA</t>
        </is>
      </c>
      <c r="D20" t="inlineStr">
        <is>
          <t>SUM(LAMBDA(r,r*2)(I2:I4))</t>
        </is>
      </c>
      <c r="E20">
        <f t="array" ref="E20">SUM(_xlfn.LAMBDA(_xlpm.r,_xlpm.r*2)(I2:I4))</f>
        <v/>
      </c>
      <c r="F20" t="inlineStr">
        <is>
          <t>Python: 756.2478</t>
        </is>
      </c>
    </row>
    <row r="21">
      <c r="A21" t="inlineStr">
        <is>
          <t>L-020</t>
        </is>
      </c>
      <c r="B21" t="inlineStr">
        <is>
          <t>errores</t>
        </is>
      </c>
      <c r="C21" t="inlineStr">
        <is>
          <t>Menos argumentos de los que pide</t>
        </is>
      </c>
      <c r="D21" t="inlineStr">
        <is>
          <t>PR_KAPPA()</t>
        </is>
      </c>
      <c r="E21">
        <f>PR_KAPPA()</f>
        <v/>
      </c>
      <c r="F21" t="inlineStr">
        <is>
          <t>A VERIFICAR: #VALUE!</t>
        </is>
      </c>
    </row>
    <row r="22">
      <c r="A22" t="inlineStr">
        <is>
          <t>L-021</t>
        </is>
      </c>
      <c r="B22" t="inlineStr">
        <is>
          <t>errores</t>
        </is>
      </c>
      <c r="C22" t="inlineStr">
        <is>
          <t>Más argumentos de los que pide</t>
        </is>
      </c>
      <c r="D22" t="inlineStr">
        <is>
          <t>LAMBDA(x,x)(1,2)</t>
        </is>
      </c>
      <c r="E22">
        <f>_xlfn.LAMBDA(_xlpm.x,_xlpm.x)(1,2)</f>
        <v/>
      </c>
      <c r="F22" t="inlineStr">
        <is>
          <t>A VERIFICAR: #VALUE!</t>
        </is>
      </c>
    </row>
    <row r="23">
      <c r="A23" t="inlineStr">
        <is>
          <t>L-022</t>
        </is>
      </c>
      <c r="B23" t="inlineStr">
        <is>
          <t>errores</t>
        </is>
      </c>
      <c r="C23" t="inlineStr">
        <is>
          <t>LAMBDA sin invocar</t>
        </is>
      </c>
      <c r="D23" t="inlineStr">
        <is>
          <t>LAMBDA(x,x)</t>
        </is>
      </c>
      <c r="E23">
        <f>_xlfn.LAMBDA(_xlpm.x,_xlpm.x)</f>
        <v/>
      </c>
      <c r="F23" t="inlineStr">
        <is>
          <t>A VERIFICAR: #CALC!</t>
        </is>
      </c>
    </row>
    <row r="24">
      <c r="A24" t="inlineStr">
        <is>
          <t>L-023</t>
        </is>
      </c>
      <c r="B24" t="inlineStr">
        <is>
          <t>recursiva</t>
        </is>
      </c>
      <c r="C24" t="inlineStr">
        <is>
          <t>LAMBDA con nombre recursiva (factorial)</t>
        </is>
      </c>
      <c r="D24" t="inlineStr">
        <is>
          <t>FACTREC(5)</t>
        </is>
      </c>
      <c r="E24">
        <f>FACTREC(5)</f>
        <v/>
      </c>
      <c r="F24" t="inlineStr">
        <is>
          <t>Python: 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6" customWidth="1" min="3" max="3"/>
  </cols>
  <sheetData>
    <row r="1">
      <c r="A1" s="2" t="inlineStr">
        <is>
          <t>Peng-Robinson con LAMBDA: presión del CO2 con temperatura y volumen inciertos</t>
        </is>
      </c>
    </row>
    <row r="2">
      <c r="A2" t="inlineStr">
        <is>
          <t>Escribe las funciones RIESGO de la guía en B8 y B9 (o márcalas como entradas en el panel). B11, B12 y B13 son la misma presión calculada de tres formas: tienen que coincidir.</t>
        </is>
      </c>
    </row>
    <row r="3">
      <c r="A3" s="1" t="inlineStr">
        <is>
          <t>Dato</t>
        </is>
      </c>
      <c r="B3" s="1" t="inlineStr">
        <is>
          <t>Valor</t>
        </is>
      </c>
      <c r="C3" s="1" t="inlineStr">
        <is>
          <t>Python (sin incertidumbre)</t>
        </is>
      </c>
    </row>
    <row r="4">
      <c r="A4" t="inlineStr">
        <is>
          <t>Temperatura crítica Tc (K)</t>
        </is>
      </c>
      <c r="B4" t="n">
        <v>304.13</v>
      </c>
    </row>
    <row r="5">
      <c r="A5" t="inlineStr">
        <is>
          <t>Presión crítica Pc (bar)</t>
        </is>
      </c>
      <c r="B5" t="n">
        <v>73.77</v>
      </c>
    </row>
    <row r="6">
      <c r="A6" t="inlineStr">
        <is>
          <t>Factor acéntrico ω</t>
        </is>
      </c>
      <c r="B6" t="n">
        <v>0.2239</v>
      </c>
    </row>
    <row r="8">
      <c r="A8" t="inlineStr">
        <is>
          <t>Temperatura T (K) — incierta</t>
        </is>
      </c>
      <c r="B8" t="n">
        <v>310</v>
      </c>
    </row>
    <row r="9">
      <c r="A9" t="inlineStr">
        <is>
          <t>Volumen molar v (L/mol) — incierto</t>
        </is>
      </c>
      <c r="B9" t="n">
        <v>0.5</v>
      </c>
    </row>
    <row r="11">
      <c r="A11" t="inlineStr">
        <is>
          <t>P con LAMBDA con nombre (bar)</t>
        </is>
      </c>
      <c r="B11" s="3">
        <f>PR_P(B8,B9,B4,B5,B6)</f>
        <v/>
      </c>
      <c r="C11" s="3" t="n">
        <v>40.28643371480214</v>
      </c>
    </row>
    <row r="12">
      <c r="A12" t="inlineStr">
        <is>
          <t>P con LAMBDA dentro de LET (bar)</t>
        </is>
      </c>
      <c r="B12" s="3">
        <f>_xlfn.LET(_xlpm.R,0.08314462618,_xlpm.Tc,B4,_xlpm.Pc,B5,_xlpm.w,B6,_xlpm.kappa,_xlfn.LAMBDA(_xlpm.w,0.37464+1.54226*_xlpm.w-0.26992*_xlpm.w^2),_xlpm.alfa,_xlfn.LAMBDA(_xlpm.T,(1+_xlpm.kappa(_xlpm.w)*(1-SQRT(_xlpm.T/_xlpm.Tc)))^2),_xlpm.a,0.45724*_xlpm.R^2*_xlpm.Tc^2/_xlpm.Pc,_xlpm.b,0.0778*_xlpm.R*_xlpm.Tc/_xlpm.Pc,_xlpm.R*B8/(B9-_xlpm.b)-_xlpm.a*_xlpm.alfa(B8)/(B9^2+2*_xlpm.b*B9-_xlpm.b^2))</f>
        <v/>
      </c>
      <c r="C12" s="3" t="n">
        <v>40.28643371480214</v>
      </c>
    </row>
    <row r="13">
      <c r="A13" t="inlineStr">
        <is>
          <t>P con LAMBDA en la celda (bar)</t>
        </is>
      </c>
      <c r="B13" s="3">
        <f>_xlfn.LAMBDA(_xlpm.T,_xlpm.v,_xlfn.LET(_xlpm.R,0.08314462618,_xlpm.Tc,B4,_xlpm.Pc,B5,_xlpm.w,B6,_xlpm.kappa,0.37464+1.54226*_xlpm.w-0.26992*_xlpm.w^2,_xlpm.a,0.45724*_xlpm.R^2*_xlpm.Tc^2/_xlpm.Pc,_xlpm.b,0.0778*_xlpm.R*_xlpm.Tc/_xlpm.Pc,_xlpm.R*_xlpm.T/(_xlpm.v-_xlpm.b)-_xlpm.a*(1+_xlpm.kappa*(1-SQRT(_xlpm.T/_xlpm.Tc)))^2/(_xlpm.v^2+2*_xlpm.b*_xlpm.v-_xlpm.b^2)))(B8,B9)</f>
        <v/>
      </c>
      <c r="C13" s="3" t="n">
        <v>40.28643371480214</v>
      </c>
    </row>
    <row r="14">
      <c r="A14" t="inlineStr">
        <is>
          <t>Factor de compresibilidad Z</t>
        </is>
      </c>
      <c r="B14" s="3">
        <f>PR_Z(B8,B9,B4,B5,B6)</f>
        <v/>
      </c>
      <c r="C14" s="3" t="n">
        <v>0.7815071385872957</v>
      </c>
    </row>
    <row r="15">
      <c r="A15" t="inlineStr">
        <is>
          <t>P como gas ideal (bar)</t>
        </is>
      </c>
      <c r="B15" s="3">
        <f>R_GAS*B8/B9</f>
        <v/>
      </c>
      <c r="C15" s="3" t="n">
        <v>51.5496682316</v>
      </c>
    </row>
    <row r="16">
      <c r="A16" t="inlineStr">
        <is>
          <t>Desviación del gas ideal (%)</t>
        </is>
      </c>
      <c r="B16" s="4">
        <f>B11/B15-1</f>
        <v/>
      </c>
      <c r="C16" s="4" t="n">
        <v>-0.2184928614127043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2026-09-29T19:29:48Z</dcterms:created>
  <dcterms:modified xsi:type="dcterms:W3CDTF">2026-09-29T19:29:48Z</dcterms:modified>
</cp:coreProperties>
</file>