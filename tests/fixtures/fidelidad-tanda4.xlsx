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al\Downloads\"/>
    </mc:Choice>
  </mc:AlternateContent>
  <xr:revisionPtr revIDLastSave="0" documentId="11_38F55EA850D2DDBAC9FA6AD3525ED87656CD65E0" xr6:coauthVersionLast="47" xr6:coauthVersionMax="47" xr10:uidLastSave="{00000000-0000-0000-0000-000000000000}"/>
  <bookViews>
    <workbookView xWindow="-6705" yWindow="-19560" windowWidth="34005" windowHeight="18375" xr2:uid="{00000000-000D-0000-FFFF-FFFF00000000}"/>
  </bookViews>
  <sheets>
    <sheet name="Fidelida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1" i="1" l="1"/>
  <c r="E90" i="1"/>
  <c r="E89" i="1"/>
  <c r="E88" i="1"/>
  <c r="E77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M7" i="1"/>
  <c r="E75" i="1" s="1"/>
  <c r="E7" i="1"/>
  <c r="Q6" i="1"/>
  <c r="E87" i="1" s="1"/>
  <c r="E6" i="1"/>
  <c r="K5" i="1"/>
  <c r="E5" i="1"/>
  <c r="M4" i="1"/>
  <c r="E74" i="1" s="1"/>
  <c r="E4" i="1"/>
  <c r="O3" i="1"/>
  <c r="E81" i="1" s="1"/>
  <c r="E3" i="1"/>
  <c r="E2" i="1"/>
  <c r="E76" i="1" l="1"/>
  <c r="E78" i="1"/>
  <c r="E79" i="1"/>
  <c r="E80" i="1"/>
  <c r="E82" i="1"/>
  <c r="E83" i="1"/>
  <c r="E84" i="1"/>
  <c r="E85" i="1"/>
  <c r="E86" i="1"/>
</calcChain>
</file>

<file path=xl/sharedStrings.xml><?xml version="1.0" encoding="utf-8"?>
<sst xmlns="http://schemas.openxmlformats.org/spreadsheetml/2006/main" count="472" uniqueCount="369">
  <si>
    <t>id</t>
  </si>
  <si>
    <t>categoria</t>
  </si>
  <si>
    <t>descripcion</t>
  </si>
  <si>
    <t>formula (texto)</t>
  </si>
  <si>
    <t>resultado de Excel</t>
  </si>
  <si>
    <t>notas</t>
  </si>
  <si>
    <t>textos</t>
  </si>
  <si>
    <t>unir</t>
  </si>
  <si>
    <t>presupuesto</t>
  </si>
  <si>
    <t>con error</t>
  </si>
  <si>
    <t>con k</t>
  </si>
  <si>
    <t>moda</t>
  </si>
  <si>
    <t>T4-001</t>
  </si>
  <si>
    <t>extraer</t>
  </si>
  <si>
    <t>LARGO de un texto</t>
  </si>
  <si>
    <t>LEN("hola")</t>
  </si>
  <si>
    <t>motor: 4</t>
  </si>
  <si>
    <t>presupuesto de OBRA</t>
  </si>
  <si>
    <t>a</t>
  </si>
  <si>
    <t>b</t>
  </si>
  <si>
    <t>T4-002</t>
  </si>
  <si>
    <t>LARGO de un número: cuenta su formato General</t>
  </si>
  <si>
    <t>LEN(1234)</t>
  </si>
  <si>
    <t xml:space="preserve">  mucho    espacio  </t>
  </si>
  <si>
    <t>c</t>
  </si>
  <si>
    <t>d</t>
  </si>
  <si>
    <t>T4-003</t>
  </si>
  <si>
    <t>LARGO del texto vacío</t>
  </si>
  <si>
    <t>LEN("")</t>
  </si>
  <si>
    <t>motor: 0</t>
  </si>
  <si>
    <t>o'neil</t>
  </si>
  <si>
    <t>T4-004</t>
  </si>
  <si>
    <t>IZQUIERDA</t>
  </si>
  <si>
    <t>LEFT("Presupuesto",3)</t>
  </si>
  <si>
    <t>motor: "Pre"</t>
  </si>
  <si>
    <t>2nd</t>
  </si>
  <si>
    <t>T4-005</t>
  </si>
  <si>
    <t>IZQUIERDA sin longitud: un carácter</t>
  </si>
  <si>
    <t>LEFT("abc")</t>
  </si>
  <si>
    <t>motor: "a"</t>
  </si>
  <si>
    <t>T4-006</t>
  </si>
  <si>
    <t>IZQUIERDA pidiendo más de lo que hay</t>
  </si>
  <si>
    <t>LEFT("abc",10)</t>
  </si>
  <si>
    <t>motor: "abc"</t>
  </si>
  <si>
    <t>T4-007</t>
  </si>
  <si>
    <t>IZQUIERDA con longitud negativa</t>
  </si>
  <si>
    <t>LEFT("abc",-1)</t>
  </si>
  <si>
    <t>motor: #¡VALOR!</t>
  </si>
  <si>
    <t>T4-008</t>
  </si>
  <si>
    <t>DERECHA</t>
  </si>
  <si>
    <t>RIGHT("Presupuesto",5)</t>
  </si>
  <si>
    <t>motor: "uesto"</t>
  </si>
  <si>
    <t>T4-009</t>
  </si>
  <si>
    <t>EXTRAE</t>
  </si>
  <si>
    <t>MID("Presupuesto",4,3)</t>
  </si>
  <si>
    <t>motor: "sup"</t>
  </si>
  <si>
    <t>T4-010</t>
  </si>
  <si>
    <t>EXTRAE empezando más allá del final</t>
  </si>
  <si>
    <t>MID("abc",5,2)</t>
  </si>
  <si>
    <t>A VERIFICAR. motor: el texto vacío, no un error</t>
  </si>
  <si>
    <t>T4-011</t>
  </si>
  <si>
    <t>EXTRAE empezando en 0</t>
  </si>
  <si>
    <t>MID("abc",0,2)</t>
  </si>
  <si>
    <t>T4-012</t>
  </si>
  <si>
    <t>IZQUIERDA de un número entero</t>
  </si>
  <si>
    <t>LEFT(1234,2)</t>
  </si>
  <si>
    <t>motor: "12"</t>
  </si>
  <si>
    <t>T4-013</t>
  </si>
  <si>
    <t>regional</t>
  </si>
  <si>
    <t>IZQUIERDA de un decimal — ¿coma o punto?</t>
  </si>
  <si>
    <t>LEFT(1.5,3)</t>
  </si>
  <si>
    <t>A VERIFICAR (configuración regional). motor: "1.5"; un Excel en español debería dar "1,5"</t>
  </si>
  <si>
    <t>T4-014</t>
  </si>
  <si>
    <t>mayusculas</t>
  </si>
  <si>
    <t>MAYUSC con eñe</t>
  </si>
  <si>
    <t>UPPER("año")</t>
  </si>
  <si>
    <t>motor: "AÑO"</t>
  </si>
  <si>
    <t>T4-015</t>
  </si>
  <si>
    <t>MINUSC con tilde</t>
  </si>
  <si>
    <t>LOWER("ÁRBOL")</t>
  </si>
  <si>
    <t>motor: "árbol"</t>
  </si>
  <si>
    <t>T4-016</t>
  </si>
  <si>
    <t>NOMPROPIO de una frase</t>
  </si>
  <si>
    <t>PROPER(H2)</t>
  </si>
  <si>
    <t>motor: "Presupuesto De Obra"</t>
  </si>
  <si>
    <t>T4-017</t>
  </si>
  <si>
    <t>NOMPROPIO tras un apóstrofo</t>
  </si>
  <si>
    <t>PROPER(H4)</t>
  </si>
  <si>
    <t>motor: "O'Neil"</t>
  </si>
  <si>
    <t>T4-018</t>
  </si>
  <si>
    <t>NOMPROPIO tras un dígito — la rareza conocida</t>
  </si>
  <si>
    <t>PROPER(H5)</t>
  </si>
  <si>
    <t>A VERIFICAR. motor: "2Nd"</t>
  </si>
  <si>
    <t>T4-019</t>
  </si>
  <si>
    <t>espacios</t>
  </si>
  <si>
    <t>ESPACIOS</t>
  </si>
  <si>
    <t>TRIM(H3)</t>
  </si>
  <si>
    <t>motor: "mucho espacio"</t>
  </si>
  <si>
    <t>T4-020</t>
  </si>
  <si>
    <t>ESPACIOS no quita el espacio duro (carácter 160)</t>
  </si>
  <si>
    <t>LEN(TRIM(CHAR(160)&amp;"x"))</t>
  </si>
  <si>
    <t>A VERIFICAR. motor: 2</t>
  </si>
  <si>
    <t>T4-021</t>
  </si>
  <si>
    <t>concatenar</t>
  </si>
  <si>
    <t>CONCATENAR un texto y un número</t>
  </si>
  <si>
    <t>CONCATENATE("Año ",2026)</t>
  </si>
  <si>
    <t>motor: "Año 2026"</t>
  </si>
  <si>
    <t>T4-022</t>
  </si>
  <si>
    <t>CONCAT de un rango 2x2: ¿por filas o por columnas?</t>
  </si>
  <si>
    <t>_xlfn.CONCAT(I2:J3)</t>
  </si>
  <si>
    <t>A VERIFICAR. motor: "abcd" (por filas)</t>
  </si>
  <si>
    <t>T4-023</t>
  </si>
  <si>
    <t>UNIRCADENAS ignorando vacías (incluido el texto vacío)</t>
  </si>
  <si>
    <t>_xlfn.TEXTJOIN(", ",TRUE,K2:K5)</t>
  </si>
  <si>
    <t>A VERIFICAR. motor: "a, c"</t>
  </si>
  <si>
    <t>T4-024</t>
  </si>
  <si>
    <t>UNIRCADENAS sin ignorar vacías</t>
  </si>
  <si>
    <t>_xlfn.TEXTJOIN(", ",FALSE,K2:K5)</t>
  </si>
  <si>
    <t>motor: "a, , c, "</t>
  </si>
  <si>
    <t>T4-025</t>
  </si>
  <si>
    <t>CONCAT con un error en medio</t>
  </si>
  <si>
    <t>_xlfn.CONCAT("a",1/0)</t>
  </si>
  <si>
    <t>motor: #¡DIV/0!</t>
  </si>
  <si>
    <t>T4-026</t>
  </si>
  <si>
    <t>buscar</t>
  </si>
  <si>
    <t>ENCONTRAR distingue mayúsculas</t>
  </si>
  <si>
    <t>FIND("A","banana")</t>
  </si>
  <si>
    <t>T4-027</t>
  </si>
  <si>
    <t>HALLAR no las distingue</t>
  </si>
  <si>
    <t>SEARCH("A","banana")</t>
  </si>
  <si>
    <t>motor: 2</t>
  </si>
  <si>
    <t>T4-028</t>
  </si>
  <si>
    <t>ENCONTRAR desde la posición 3: la posición cuenta desde el principio</t>
  </si>
  <si>
    <t>FIND("a","banana",3)</t>
  </si>
  <si>
    <t>T4-029</t>
  </si>
  <si>
    <t>HALLAR con ?</t>
  </si>
  <si>
    <t>SEARCH("n?n","banana")</t>
  </si>
  <si>
    <t>motor: 3</t>
  </si>
  <si>
    <t>T4-030</t>
  </si>
  <si>
    <t>HALLAR con *</t>
  </si>
  <si>
    <t>SEARCH("b*n","abanana")</t>
  </si>
  <si>
    <t>T4-031</t>
  </si>
  <si>
    <t>HALLAR un asterisco literal con ~</t>
  </si>
  <si>
    <t>SEARCH("~*","a*b")</t>
  </si>
  <si>
    <t>T4-032</t>
  </si>
  <si>
    <t>ENCONTRAR el texto vacío</t>
  </si>
  <si>
    <t>FIND("","abc")</t>
  </si>
  <si>
    <t>A VERIFICAR. motor: 1</t>
  </si>
  <si>
    <t>T4-033</t>
  </si>
  <si>
    <t>ENCONTRAR el texto vacío desde la 3</t>
  </si>
  <si>
    <t>FIND("","abc",3)</t>
  </si>
  <si>
    <t>A VERIFICAR. motor: 3</t>
  </si>
  <si>
    <t>T4-034</t>
  </si>
  <si>
    <t>ENCONTRAR desde más allá del final</t>
  </si>
  <si>
    <t>FIND("","abc",5)</t>
  </si>
  <si>
    <t>A VERIFICAR. motor: #¡VALOR!</t>
  </si>
  <si>
    <t>T4-035</t>
  </si>
  <si>
    <t>sustituir</t>
  </si>
  <si>
    <t>SUSTITUIR todas</t>
  </si>
  <si>
    <t>SUBSTITUTE("a-b-c","-","/")</t>
  </si>
  <si>
    <t>motor: "a/b/c"</t>
  </si>
  <si>
    <t>T4-036</t>
  </si>
  <si>
    <t>SUSTITUIR solo la segunda</t>
  </si>
  <si>
    <t>SUBSTITUTE("a-b-c","-","/",2)</t>
  </si>
  <si>
    <t>motor: "a-b/c"</t>
  </si>
  <si>
    <t>T4-037</t>
  </si>
  <si>
    <t>SUSTITUIR una ocurrencia que no existe</t>
  </si>
  <si>
    <t>SUBSTITUTE("a-b-c","-","/",9)</t>
  </si>
  <si>
    <t>motor: "a-b-c"</t>
  </si>
  <si>
    <t>T4-038</t>
  </si>
  <si>
    <t>SUSTITUIR distingue mayúsculas</t>
  </si>
  <si>
    <t>SUBSTITUTE("Aa","a","x")</t>
  </si>
  <si>
    <t>motor: "Ax"</t>
  </si>
  <si>
    <t>T4-039</t>
  </si>
  <si>
    <t>REEMPLAZAR por posición</t>
  </si>
  <si>
    <t>REPLACE("2025-01",1,4,"2026")</t>
  </si>
  <si>
    <t>motor: "2026-01"</t>
  </si>
  <si>
    <t>T4-040</t>
  </si>
  <si>
    <t>REEMPLAZAR empezando más allá del final</t>
  </si>
  <si>
    <t>REPLACE("abc",10,1,"Z")</t>
  </si>
  <si>
    <t>A VERIFICAR. motor: "abcZ"</t>
  </si>
  <si>
    <t>T4-041</t>
  </si>
  <si>
    <t>REPETIR</t>
  </si>
  <si>
    <t>REPT("ab",3)</t>
  </si>
  <si>
    <t>motor: "ababab"</t>
  </si>
  <si>
    <t>T4-042</t>
  </si>
  <si>
    <t>REPETIR un número negativo de veces</t>
  </si>
  <si>
    <t>REPT("ab",-1)</t>
  </si>
  <si>
    <t>T4-043</t>
  </si>
  <si>
    <t>caracter</t>
  </si>
  <si>
    <t>CARACTER(65)</t>
  </si>
  <si>
    <t>CHAR(65)</t>
  </si>
  <si>
    <t>motor: "A"</t>
  </si>
  <si>
    <t>T4-044</t>
  </si>
  <si>
    <t>CARACTER(128): página de códigos de Windows</t>
  </si>
  <si>
    <t>CHAR(128)</t>
  </si>
  <si>
    <t>A VERIFICAR. motor: "€"</t>
  </si>
  <si>
    <t>T4-045</t>
  </si>
  <si>
    <t>CARACTER fuera de 1-255</t>
  </si>
  <si>
    <t>CHAR(256)</t>
  </si>
  <si>
    <t>T4-046</t>
  </si>
  <si>
    <t>CODIGO de una letra</t>
  </si>
  <si>
    <t>CODE("A")</t>
  </si>
  <si>
    <t>motor: 65</t>
  </si>
  <si>
    <t>T4-047</t>
  </si>
  <si>
    <t>CODIGO del euro</t>
  </si>
  <si>
    <t>CODE("€")</t>
  </si>
  <si>
    <t>A VERIFICAR. motor: 128</t>
  </si>
  <si>
    <t>T4-048</t>
  </si>
  <si>
    <t>CODIGO de la eñe</t>
  </si>
  <si>
    <t>CODE("ñ")</t>
  </si>
  <si>
    <t>motor: 241</t>
  </si>
  <si>
    <t>T4-049</t>
  </si>
  <si>
    <t>CODIGO del texto vacío</t>
  </si>
  <si>
    <t>CODE("")</t>
  </si>
  <si>
    <t>T4-050</t>
  </si>
  <si>
    <t>IGUAL distingue mayúsculas</t>
  </si>
  <si>
    <t>EXACT("Obra","obra")</t>
  </si>
  <si>
    <t>motor: FALSO</t>
  </si>
  <si>
    <t>T4-051</t>
  </si>
  <si>
    <t>IGUAL de un número y su texto</t>
  </si>
  <si>
    <t>EXACT(1,"1")</t>
  </si>
  <si>
    <t>motor: VERDADERO</t>
  </si>
  <si>
    <t>T4-052</t>
  </si>
  <si>
    <t>VALOR("1234.5") — ¿qué es el punto en un Excel en español?</t>
  </si>
  <si>
    <t>VALUE("1234.5")</t>
  </si>
  <si>
    <t>A VERIFICAR (configuración regional). motor: 1234,5</t>
  </si>
  <si>
    <t>T4-053</t>
  </si>
  <si>
    <t>convertir</t>
  </si>
  <si>
    <t>VALOR de un porcentaje</t>
  </si>
  <si>
    <t>VALUE("15%")</t>
  </si>
  <si>
    <t>motor: 0,15</t>
  </si>
  <si>
    <t>T4-054</t>
  </si>
  <si>
    <t>VALOR del texto vacío</t>
  </si>
  <si>
    <t>VALUE("")</t>
  </si>
  <si>
    <t>T4-055</t>
  </si>
  <si>
    <t>VALOR de un texto que no es número</t>
  </si>
  <si>
    <t>VALUE("abc")</t>
  </si>
  <si>
    <t>T4-056</t>
  </si>
  <si>
    <t>VALOR de un lógico</t>
  </si>
  <si>
    <t>VALUE(TRUE)</t>
  </si>
  <si>
    <t>T4-057</t>
  </si>
  <si>
    <t>VALOR.NUMERO con coma decimal y punto de miles</t>
  </si>
  <si>
    <t>_xlfn.NUMBERVALUE("1.234,5",",",".")</t>
  </si>
  <si>
    <t>motor: 1234,5</t>
  </si>
  <si>
    <t>T4-058</t>
  </si>
  <si>
    <t>VALOR.NUMERO ignora los espacios</t>
  </si>
  <si>
    <t>_xlfn.NUMBERVALUE("2 500",".",",")</t>
  </si>
  <si>
    <t>motor: 2500</t>
  </si>
  <si>
    <t>T4-059</t>
  </si>
  <si>
    <t>VALOR.NUMERO con dos %</t>
  </si>
  <si>
    <t>_xlfn.NUMBERVALUE("50%%",".",",")</t>
  </si>
  <si>
    <t>A VERIFICAR. motor: 0,005</t>
  </si>
  <si>
    <t>T4-060</t>
  </si>
  <si>
    <t>VALOR.NUMERO del texto vacío</t>
  </si>
  <si>
    <t>_xlfn.NUMBERVALUE("",".",",")</t>
  </si>
  <si>
    <t>A VERIFICAR. motor: 0</t>
  </si>
  <si>
    <t>T4-061</t>
  </si>
  <si>
    <t>VALOR.NUMERO con miles después del decimal</t>
  </si>
  <si>
    <t>_xlfn.NUMBERVALUE("1,5.3",",",".")</t>
  </si>
  <si>
    <t>T4-062</t>
  </si>
  <si>
    <t>tipo</t>
  </si>
  <si>
    <t>TIPO de un número</t>
  </si>
  <si>
    <t>TYPE(5)</t>
  </si>
  <si>
    <t>motor: 1</t>
  </si>
  <si>
    <t>T4-063</t>
  </si>
  <si>
    <t>TIPO de un texto</t>
  </si>
  <si>
    <t>TYPE("a")</t>
  </si>
  <si>
    <t>T4-064</t>
  </si>
  <si>
    <t>TIPO de un lógico</t>
  </si>
  <si>
    <t>TYPE(TRUE)</t>
  </si>
  <si>
    <t>T4-065</t>
  </si>
  <si>
    <t>TIPO de un error: no lo propaga, lo clasifica</t>
  </si>
  <si>
    <t>TYPE(1/0)</t>
  </si>
  <si>
    <t>motor: 16</t>
  </si>
  <si>
    <t>T4-066</t>
  </si>
  <si>
    <t>TIPO de una celda vacía</t>
  </si>
  <si>
    <t>TYPE(Z99)</t>
  </si>
  <si>
    <t>T4-067</t>
  </si>
  <si>
    <t>N de un lógico</t>
  </si>
  <si>
    <t>N(TRUE)</t>
  </si>
  <si>
    <t>T4-068</t>
  </si>
  <si>
    <t>N de un texto numérico</t>
  </si>
  <si>
    <t>N("7")</t>
  </si>
  <si>
    <t>T4-069</t>
  </si>
  <si>
    <t>T de un número</t>
  </si>
  <si>
    <t>T(5)</t>
  </si>
  <si>
    <t>motor: el texto vacío</t>
  </si>
  <si>
    <t>T4-070</t>
  </si>
  <si>
    <t>T de un texto</t>
  </si>
  <si>
    <t>T("x")</t>
  </si>
  <si>
    <t>motor: "x"</t>
  </si>
  <si>
    <t>T4-071</t>
  </si>
  <si>
    <t>HIPERVINCULO vale el nombre que enseña</t>
  </si>
  <si>
    <t>HYPERLINK("https://example.com","Informe")</t>
  </si>
  <si>
    <t>motor: "Informe"</t>
  </si>
  <si>
    <t>T4-072</t>
  </si>
  <si>
    <t>MAYUSC de un lógico — ¿TRUE o VERDADERO?</t>
  </si>
  <si>
    <t>UPPER(TRUE)</t>
  </si>
  <si>
    <t>A VERIFICAR (configuración regional). motor: "TRUE"; un Excel en español debería dar "VERDADERO"</t>
  </si>
  <si>
    <t>T4-073</t>
  </si>
  <si>
    <t>subtotal</t>
  </si>
  <si>
    <t>SUBTOTALES del total general ignora los subtotales intermedios</t>
  </si>
  <si>
    <t>SUBTOTAL(9,M2:M7)</t>
  </si>
  <si>
    <t>motor: 375 (y no 750)</t>
  </si>
  <si>
    <t>T4-074</t>
  </si>
  <si>
    <t>SUMA sobre el mismo rango sí cuenta dos veces</t>
  </si>
  <si>
    <t>SUM(M2:M7)</t>
  </si>
  <si>
    <t>motor: 750</t>
  </si>
  <si>
    <t>T4-075</t>
  </si>
  <si>
    <t>SUBTOTALES(109) sin filas ocultas es igual que 9</t>
  </si>
  <si>
    <t>SUBTOTAL(109,M2:M7)</t>
  </si>
  <si>
    <t>motor: 375</t>
  </si>
  <si>
    <t>T4-076</t>
  </si>
  <si>
    <t>SUBTOTALES(1): el promedio</t>
  </si>
  <si>
    <t>SUBTOTAL(1,M2:M3)</t>
  </si>
  <si>
    <t>motor: 150</t>
  </si>
  <si>
    <t>T4-077</t>
  </si>
  <si>
    <t>SUBTOTALES propaga un error del rango</t>
  </si>
  <si>
    <t>SUBTOTAL(9,O2:O4)</t>
  </si>
  <si>
    <t>T4-078</t>
  </si>
  <si>
    <t>agregar</t>
  </si>
  <si>
    <t>AGREGAR suma ignorando errores (opción 6)</t>
  </si>
  <si>
    <t>_xlfn.AGGREGATE(9,6,O2:O4)</t>
  </si>
  <si>
    <t>motor: 40</t>
  </si>
  <si>
    <t>T4-079</t>
  </si>
  <si>
    <t>AGREGAR promedia ignorando errores</t>
  </si>
  <si>
    <t>_xlfn.AGGREGATE(1,6,O2:O4)</t>
  </si>
  <si>
    <t>motor: 20</t>
  </si>
  <si>
    <t>T4-080</t>
  </si>
  <si>
    <t>AGREGAR con la opción 4 no ignora nada</t>
  </si>
  <si>
    <t>_xlfn.AGGREGATE(9,4,O2:O4)</t>
  </si>
  <si>
    <t>T4-081</t>
  </si>
  <si>
    <t>AGREGAR con la opción 0 ignora los subtotales</t>
  </si>
  <si>
    <t>_xlfn.AGGREGATE(9,0,M2:M7)</t>
  </si>
  <si>
    <t>T4-082</t>
  </si>
  <si>
    <t>AGREGAR con la opción 4 los cuenta</t>
  </si>
  <si>
    <t>_xlfn.AGGREGATE(9,4,M2:M7)</t>
  </si>
  <si>
    <t>A VERIFICAR. motor: 750</t>
  </si>
  <si>
    <t>T4-083</t>
  </si>
  <si>
    <t>AGREGAR 14: el mayor</t>
  </si>
  <si>
    <t>_xlfn.AGGREGATE(14,6,Q2:Q6,1)</t>
  </si>
  <si>
    <t>T4-084</t>
  </si>
  <si>
    <t>AGREGAR 15: el segundo menor</t>
  </si>
  <si>
    <t>_xlfn.AGGREGATE(15,6,Q2:Q6,2)</t>
  </si>
  <si>
    <t>T4-085</t>
  </si>
  <si>
    <t>AGREGAR 16: percentil inclusivo</t>
  </si>
  <si>
    <t>_xlfn.AGGREGATE(16,6,Q2:Q6,0.5)</t>
  </si>
  <si>
    <t>motor: 2,5</t>
  </si>
  <si>
    <t>T4-086</t>
  </si>
  <si>
    <t>AGREGAR 17: primer cuartil</t>
  </si>
  <si>
    <t>_xlfn.AGGREGATE(17,6,Q2:Q6,1)</t>
  </si>
  <si>
    <t>motor: 1,75</t>
  </si>
  <si>
    <t>T4-087</t>
  </si>
  <si>
    <t>AGREGAR 18: percentil exclusivo fuera de alcance</t>
  </si>
  <si>
    <t>_xlfn.AGGREGATE(18,6,Q2:Q4,0.1)</t>
  </si>
  <si>
    <t>A VERIFICAR. motor: #¡NUM!</t>
  </si>
  <si>
    <t>T4-088</t>
  </si>
  <si>
    <t>AGREGAR 13: la moda, con dos empatadas</t>
  </si>
  <si>
    <t>_xlfn.AGGREGATE(13,6,S2:S5)</t>
  </si>
  <si>
    <t>A VERIFICAR. motor: 3 (la que aparece antes)</t>
  </si>
  <si>
    <t>T4-089</t>
  </si>
  <si>
    <t>AGREGAR con una opción inválida</t>
  </si>
  <si>
    <t>_xlfn.AGGREGATE(9,8,O2:O4)</t>
  </si>
  <si>
    <t>T4-090</t>
  </si>
  <si>
    <t>fecha</t>
  </si>
  <si>
    <t>DIAS, ahora con su prefijo _xlfn</t>
  </si>
  <si>
    <t>_xlfn.DAYS(DATE(2026,3,1),DATE(2026,2,1))</t>
  </si>
  <si>
    <t>motor: 28. En la tercera tanda dio #¿NOMBRE? por faltar el prefijo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</si>
</sst>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1"/>
  <sheetViews>
    <sheetView tabSelected="1" topLeftCell="A55" workbookViewId="0">
      <selection activeCell="E11" sqref="E11"/>
    </sheetView>
  </sheetViews>
  <sheetFormatPr baseColWidth="10" defaultColWidth="8.88671875" defaultRowHeight="14.4" x14ac:dyDescent="0.3"/>
  <cols>
    <col min="1" max="1" width="9" customWidth="1"/>
    <col min="2" max="2" width="12" customWidth="1"/>
    <col min="3" max="3" width="62" customWidth="1"/>
    <col min="4" max="4" width="44" customWidth="1"/>
    <col min="5" max="5" width="18" customWidth="1"/>
    <col min="6" max="6" width="70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6</v>
      </c>
      <c r="K1" s="1" t="s">
        <v>7</v>
      </c>
      <c r="M1" s="1" t="s">
        <v>8</v>
      </c>
      <c r="O1" s="1" t="s">
        <v>9</v>
      </c>
      <c r="Q1" s="1" t="s">
        <v>10</v>
      </c>
      <c r="S1" s="1" t="s">
        <v>11</v>
      </c>
    </row>
    <row r="2" spans="1:19" x14ac:dyDescent="0.3">
      <c r="A2" t="s">
        <v>12</v>
      </c>
      <c r="B2" t="s">
        <v>13</v>
      </c>
      <c r="C2" t="s">
        <v>14</v>
      </c>
      <c r="D2" t="s">
        <v>15</v>
      </c>
      <c r="E2">
        <f>LEN("hola")</f>
        <v>4</v>
      </c>
      <c r="F2" t="s">
        <v>16</v>
      </c>
      <c r="H2" t="s">
        <v>17</v>
      </c>
      <c r="I2" t="s">
        <v>18</v>
      </c>
      <c r="J2" t="s">
        <v>19</v>
      </c>
      <c r="K2" t="s">
        <v>18</v>
      </c>
      <c r="M2">
        <v>100</v>
      </c>
      <c r="O2">
        <v>10</v>
      </c>
      <c r="Q2">
        <v>1</v>
      </c>
      <c r="S2">
        <v>3</v>
      </c>
    </row>
    <row r="3" spans="1:19" x14ac:dyDescent="0.3">
      <c r="A3" t="s">
        <v>20</v>
      </c>
      <c r="B3" t="s">
        <v>13</v>
      </c>
      <c r="C3" t="s">
        <v>21</v>
      </c>
      <c r="D3" t="s">
        <v>22</v>
      </c>
      <c r="E3">
        <f>LEN(1234)</f>
        <v>4</v>
      </c>
      <c r="F3" t="s">
        <v>16</v>
      </c>
      <c r="H3" t="s">
        <v>23</v>
      </c>
      <c r="I3" t="s">
        <v>24</v>
      </c>
      <c r="J3" t="s">
        <v>25</v>
      </c>
      <c r="M3">
        <v>200</v>
      </c>
      <c r="O3" t="e">
        <f>1/0</f>
        <v>#DIV/0!</v>
      </c>
      <c r="Q3">
        <v>2</v>
      </c>
      <c r="S3">
        <v>5</v>
      </c>
    </row>
    <row r="4" spans="1:19" x14ac:dyDescent="0.3">
      <c r="A4" t="s">
        <v>26</v>
      </c>
      <c r="B4" t="s">
        <v>13</v>
      </c>
      <c r="C4" t="s">
        <v>27</v>
      </c>
      <c r="D4" t="s">
        <v>28</v>
      </c>
      <c r="E4">
        <f>LEN("")</f>
        <v>0</v>
      </c>
      <c r="F4" t="s">
        <v>29</v>
      </c>
      <c r="H4" t="s">
        <v>30</v>
      </c>
      <c r="K4" t="s">
        <v>24</v>
      </c>
      <c r="M4">
        <f>SUBTOTAL(9,M2:M3)</f>
        <v>300</v>
      </c>
      <c r="O4">
        <v>30</v>
      </c>
      <c r="Q4">
        <v>3</v>
      </c>
      <c r="S4">
        <v>5</v>
      </c>
    </row>
    <row r="5" spans="1:19" x14ac:dyDescent="0.3">
      <c r="A5" t="s">
        <v>31</v>
      </c>
      <c r="B5" t="s">
        <v>13</v>
      </c>
      <c r="C5" t="s">
        <v>32</v>
      </c>
      <c r="D5" t="s">
        <v>33</v>
      </c>
      <c r="E5" t="str">
        <f>LEFT("Presupuesto",3)</f>
        <v>Pre</v>
      </c>
      <c r="F5" t="s">
        <v>34</v>
      </c>
      <c r="H5" t="s">
        <v>35</v>
      </c>
      <c r="K5" t="str">
        <f>""</f>
        <v/>
      </c>
      <c r="M5">
        <v>50</v>
      </c>
      <c r="Q5">
        <v>4</v>
      </c>
      <c r="S5">
        <v>3</v>
      </c>
    </row>
    <row r="6" spans="1:19" x14ac:dyDescent="0.3">
      <c r="A6" t="s">
        <v>36</v>
      </c>
      <c r="B6" t="s">
        <v>13</v>
      </c>
      <c r="C6" t="s">
        <v>37</v>
      </c>
      <c r="D6" t="s">
        <v>38</v>
      </c>
      <c r="E6" t="str">
        <f>LEFT("abc")</f>
        <v>a</v>
      </c>
      <c r="F6" t="s">
        <v>39</v>
      </c>
      <c r="M6">
        <v>25</v>
      </c>
      <c r="Q6" t="e">
        <f>1/0</f>
        <v>#DIV/0!</v>
      </c>
    </row>
    <row r="7" spans="1:19" x14ac:dyDescent="0.3">
      <c r="A7" t="s">
        <v>40</v>
      </c>
      <c r="B7" t="s">
        <v>13</v>
      </c>
      <c r="C7" t="s">
        <v>41</v>
      </c>
      <c r="D7" t="s">
        <v>42</v>
      </c>
      <c r="E7" t="str">
        <f>LEFT("abc",10)</f>
        <v>abc</v>
      </c>
      <c r="F7" t="s">
        <v>43</v>
      </c>
      <c r="M7">
        <f>SUBTOTAL(9,M5:M6)</f>
        <v>75</v>
      </c>
    </row>
    <row r="8" spans="1:19" x14ac:dyDescent="0.3">
      <c r="A8" t="s">
        <v>44</v>
      </c>
      <c r="B8" t="s">
        <v>13</v>
      </c>
      <c r="C8" t="s">
        <v>45</v>
      </c>
      <c r="D8" t="s">
        <v>46</v>
      </c>
      <c r="E8" t="e">
        <f>LEFT("abc",-1)</f>
        <v>#VALUE!</v>
      </c>
      <c r="F8" t="s">
        <v>47</v>
      </c>
    </row>
    <row r="9" spans="1:19" x14ac:dyDescent="0.3">
      <c r="A9" t="s">
        <v>48</v>
      </c>
      <c r="B9" t="s">
        <v>13</v>
      </c>
      <c r="C9" t="s">
        <v>49</v>
      </c>
      <c r="D9" t="s">
        <v>50</v>
      </c>
      <c r="E9" t="str">
        <f>RIGHT("Presupuesto",5)</f>
        <v>uesto</v>
      </c>
      <c r="F9" t="s">
        <v>51</v>
      </c>
    </row>
    <row r="10" spans="1:19" x14ac:dyDescent="0.3">
      <c r="A10" t="s">
        <v>52</v>
      </c>
      <c r="B10" t="s">
        <v>13</v>
      </c>
      <c r="C10" t="s">
        <v>53</v>
      </c>
      <c r="D10" t="s">
        <v>54</v>
      </c>
      <c r="E10" t="str">
        <f>MID("Presupuesto",4,3)</f>
        <v>sup</v>
      </c>
      <c r="F10" t="s">
        <v>55</v>
      </c>
    </row>
    <row r="11" spans="1:19" x14ac:dyDescent="0.3">
      <c r="A11" t="s">
        <v>56</v>
      </c>
      <c r="B11" t="s">
        <v>13</v>
      </c>
      <c r="C11" t="s">
        <v>57</v>
      </c>
      <c r="D11" t="s">
        <v>58</v>
      </c>
      <c r="E11" t="str">
        <f>MID("abc",5,2)</f>
        <v/>
      </c>
      <c r="F11" t="s">
        <v>59</v>
      </c>
    </row>
    <row r="12" spans="1:19" x14ac:dyDescent="0.3">
      <c r="A12" t="s">
        <v>60</v>
      </c>
      <c r="B12" t="s">
        <v>13</v>
      </c>
      <c r="C12" t="s">
        <v>61</v>
      </c>
      <c r="D12" t="s">
        <v>62</v>
      </c>
      <c r="E12" t="e">
        <f>MID("abc",0,2)</f>
        <v>#VALUE!</v>
      </c>
      <c r="F12" t="s">
        <v>47</v>
      </c>
    </row>
    <row r="13" spans="1:19" x14ac:dyDescent="0.3">
      <c r="A13" t="s">
        <v>63</v>
      </c>
      <c r="B13" t="s">
        <v>13</v>
      </c>
      <c r="C13" t="s">
        <v>64</v>
      </c>
      <c r="D13" t="s">
        <v>65</v>
      </c>
      <c r="E13" t="str">
        <f>LEFT(1234,2)</f>
        <v>12</v>
      </c>
      <c r="F13" t="s">
        <v>66</v>
      </c>
    </row>
    <row r="14" spans="1:19" x14ac:dyDescent="0.3">
      <c r="A14" t="s">
        <v>67</v>
      </c>
      <c r="B14" t="s">
        <v>68</v>
      </c>
      <c r="C14" t="s">
        <v>69</v>
      </c>
      <c r="D14" t="s">
        <v>70</v>
      </c>
      <c r="E14" t="str">
        <f>LEFT(1.5,3)</f>
        <v>1,5</v>
      </c>
      <c r="F14" t="s">
        <v>71</v>
      </c>
    </row>
    <row r="15" spans="1:19" x14ac:dyDescent="0.3">
      <c r="A15" t="s">
        <v>72</v>
      </c>
      <c r="B15" t="s">
        <v>73</v>
      </c>
      <c r="C15" t="s">
        <v>74</v>
      </c>
      <c r="D15" t="s">
        <v>75</v>
      </c>
      <c r="E15" t="str">
        <f>UPPER("año")</f>
        <v>AÑO</v>
      </c>
      <c r="F15" t="s">
        <v>76</v>
      </c>
    </row>
    <row r="16" spans="1:19" x14ac:dyDescent="0.3">
      <c r="A16" t="s">
        <v>77</v>
      </c>
      <c r="B16" t="s">
        <v>73</v>
      </c>
      <c r="C16" t="s">
        <v>78</v>
      </c>
      <c r="D16" t="s">
        <v>79</v>
      </c>
      <c r="E16" t="str">
        <f>LOWER("ÁRBOL")</f>
        <v>árbol</v>
      </c>
      <c r="F16" t="s">
        <v>80</v>
      </c>
    </row>
    <row r="17" spans="1:6" x14ac:dyDescent="0.3">
      <c r="A17" t="s">
        <v>81</v>
      </c>
      <c r="B17" t="s">
        <v>73</v>
      </c>
      <c r="C17" t="s">
        <v>82</v>
      </c>
      <c r="D17" t="s">
        <v>83</v>
      </c>
      <c r="E17" t="str">
        <f>PROPER(H2)</f>
        <v>Presupuesto De Obra</v>
      </c>
      <c r="F17" t="s">
        <v>84</v>
      </c>
    </row>
    <row r="18" spans="1:6" x14ac:dyDescent="0.3">
      <c r="A18" t="s">
        <v>85</v>
      </c>
      <c r="B18" t="s">
        <v>73</v>
      </c>
      <c r="C18" t="s">
        <v>86</v>
      </c>
      <c r="D18" t="s">
        <v>87</v>
      </c>
      <c r="E18" t="str">
        <f>PROPER(H4)</f>
        <v>O'Neil</v>
      </c>
      <c r="F18" t="s">
        <v>88</v>
      </c>
    </row>
    <row r="19" spans="1:6" x14ac:dyDescent="0.3">
      <c r="A19" t="s">
        <v>89</v>
      </c>
      <c r="B19" t="s">
        <v>73</v>
      </c>
      <c r="C19" t="s">
        <v>90</v>
      </c>
      <c r="D19" t="s">
        <v>91</v>
      </c>
      <c r="E19" t="str">
        <f>PROPER(H5)</f>
        <v>2Nd</v>
      </c>
      <c r="F19" t="s">
        <v>92</v>
      </c>
    </row>
    <row r="20" spans="1:6" x14ac:dyDescent="0.3">
      <c r="A20" t="s">
        <v>93</v>
      </c>
      <c r="B20" t="s">
        <v>94</v>
      </c>
      <c r="C20" t="s">
        <v>95</v>
      </c>
      <c r="D20" t="s">
        <v>96</v>
      </c>
      <c r="E20" t="str">
        <f>TRIM(H3)</f>
        <v>mucho espacio</v>
      </c>
      <c r="F20" t="s">
        <v>97</v>
      </c>
    </row>
    <row r="21" spans="1:6" x14ac:dyDescent="0.3">
      <c r="A21" t="s">
        <v>98</v>
      </c>
      <c r="B21" t="s">
        <v>94</v>
      </c>
      <c r="C21" t="s">
        <v>99</v>
      </c>
      <c r="D21" t="s">
        <v>100</v>
      </c>
      <c r="E21">
        <f>LEN(TRIM(CHAR(160)&amp;"x"))</f>
        <v>2</v>
      </c>
      <c r="F21" t="s">
        <v>101</v>
      </c>
    </row>
    <row r="22" spans="1:6" x14ac:dyDescent="0.3">
      <c r="A22" t="s">
        <v>102</v>
      </c>
      <c r="B22" t="s">
        <v>103</v>
      </c>
      <c r="C22" t="s">
        <v>104</v>
      </c>
      <c r="D22" t="s">
        <v>105</v>
      </c>
      <c r="E22" t="str">
        <f>CONCATENATE("Año ",2026)</f>
        <v>Año 2026</v>
      </c>
      <c r="F22" t="s">
        <v>106</v>
      </c>
    </row>
    <row r="23" spans="1:6" x14ac:dyDescent="0.3">
      <c r="A23" t="s">
        <v>107</v>
      </c>
      <c r="B23" t="s">
        <v>103</v>
      </c>
      <c r="C23" t="s">
        <v>108</v>
      </c>
      <c r="D23" t="s">
        <v>109</v>
      </c>
      <c r="E23" t="str">
        <f>_xlfn.CONCAT(I2:J3)</f>
        <v>abcd</v>
      </c>
      <c r="F23" t="s">
        <v>110</v>
      </c>
    </row>
    <row r="24" spans="1:6" x14ac:dyDescent="0.3">
      <c r="A24" t="s">
        <v>111</v>
      </c>
      <c r="B24" t="s">
        <v>103</v>
      </c>
      <c r="C24" t="s">
        <v>112</v>
      </c>
      <c r="D24" t="s">
        <v>113</v>
      </c>
      <c r="E24" t="str">
        <f>_xlfn.TEXTJOIN(", ",TRUE,K2:K5)</f>
        <v>a, c</v>
      </c>
      <c r="F24" t="s">
        <v>114</v>
      </c>
    </row>
    <row r="25" spans="1:6" x14ac:dyDescent="0.3">
      <c r="A25" t="s">
        <v>115</v>
      </c>
      <c r="B25" t="s">
        <v>103</v>
      </c>
      <c r="C25" t="s">
        <v>116</v>
      </c>
      <c r="D25" t="s">
        <v>117</v>
      </c>
      <c r="E25" t="str">
        <f>_xlfn.TEXTJOIN(", ",FALSE,K2:K5)</f>
        <v xml:space="preserve">a, , c, </v>
      </c>
      <c r="F25" t="s">
        <v>118</v>
      </c>
    </row>
    <row r="26" spans="1:6" x14ac:dyDescent="0.3">
      <c r="A26" t="s">
        <v>119</v>
      </c>
      <c r="B26" t="s">
        <v>103</v>
      </c>
      <c r="C26" t="s">
        <v>120</v>
      </c>
      <c r="D26" t="s">
        <v>121</v>
      </c>
      <c r="E26" t="e">
        <f>_xlfn.CONCAT("a",1/0)</f>
        <v>#DIV/0!</v>
      </c>
      <c r="F26" t="s">
        <v>122</v>
      </c>
    </row>
    <row r="27" spans="1:6" x14ac:dyDescent="0.3">
      <c r="A27" t="s">
        <v>123</v>
      </c>
      <c r="B27" t="s">
        <v>124</v>
      </c>
      <c r="C27" t="s">
        <v>125</v>
      </c>
      <c r="D27" t="s">
        <v>126</v>
      </c>
      <c r="E27" t="e">
        <f>FIND("A","banana")</f>
        <v>#VALUE!</v>
      </c>
      <c r="F27" t="s">
        <v>47</v>
      </c>
    </row>
    <row r="28" spans="1:6" x14ac:dyDescent="0.3">
      <c r="A28" t="s">
        <v>127</v>
      </c>
      <c r="B28" t="s">
        <v>124</v>
      </c>
      <c r="C28" t="s">
        <v>128</v>
      </c>
      <c r="D28" t="s">
        <v>129</v>
      </c>
      <c r="E28">
        <f>SEARCH("A","banana")</f>
        <v>2</v>
      </c>
      <c r="F28" t="s">
        <v>130</v>
      </c>
    </row>
    <row r="29" spans="1:6" x14ac:dyDescent="0.3">
      <c r="A29" t="s">
        <v>131</v>
      </c>
      <c r="B29" t="s">
        <v>124</v>
      </c>
      <c r="C29" t="s">
        <v>132</v>
      </c>
      <c r="D29" t="s">
        <v>133</v>
      </c>
      <c r="E29">
        <f>FIND("a","banana",3)</f>
        <v>4</v>
      </c>
      <c r="F29" t="s">
        <v>16</v>
      </c>
    </row>
    <row r="30" spans="1:6" x14ac:dyDescent="0.3">
      <c r="A30" t="s">
        <v>134</v>
      </c>
      <c r="B30" t="s">
        <v>124</v>
      </c>
      <c r="C30" t="s">
        <v>135</v>
      </c>
      <c r="D30" t="s">
        <v>136</v>
      </c>
      <c r="E30">
        <f>SEARCH("n?n","banana")</f>
        <v>3</v>
      </c>
      <c r="F30" t="s">
        <v>137</v>
      </c>
    </row>
    <row r="31" spans="1:6" x14ac:dyDescent="0.3">
      <c r="A31" t="s">
        <v>138</v>
      </c>
      <c r="B31" t="s">
        <v>124</v>
      </c>
      <c r="C31" t="s">
        <v>139</v>
      </c>
      <c r="D31" t="s">
        <v>140</v>
      </c>
      <c r="E31">
        <f>SEARCH("b*n","abanana")</f>
        <v>2</v>
      </c>
      <c r="F31" t="s">
        <v>130</v>
      </c>
    </row>
    <row r="32" spans="1:6" x14ac:dyDescent="0.3">
      <c r="A32" t="s">
        <v>141</v>
      </c>
      <c r="B32" t="s">
        <v>124</v>
      </c>
      <c r="C32" t="s">
        <v>142</v>
      </c>
      <c r="D32" t="s">
        <v>143</v>
      </c>
      <c r="E32">
        <f>SEARCH("~*","a*b")</f>
        <v>2</v>
      </c>
      <c r="F32" t="s">
        <v>130</v>
      </c>
    </row>
    <row r="33" spans="1:6" x14ac:dyDescent="0.3">
      <c r="A33" t="s">
        <v>144</v>
      </c>
      <c r="B33" t="s">
        <v>124</v>
      </c>
      <c r="C33" t="s">
        <v>145</v>
      </c>
      <c r="D33" t="s">
        <v>146</v>
      </c>
      <c r="E33">
        <f>FIND("","abc")</f>
        <v>1</v>
      </c>
      <c r="F33" t="s">
        <v>147</v>
      </c>
    </row>
    <row r="34" spans="1:6" x14ac:dyDescent="0.3">
      <c r="A34" t="s">
        <v>148</v>
      </c>
      <c r="B34" t="s">
        <v>124</v>
      </c>
      <c r="C34" t="s">
        <v>149</v>
      </c>
      <c r="D34" t="s">
        <v>150</v>
      </c>
      <c r="E34">
        <f>FIND("","abc",3)</f>
        <v>3</v>
      </c>
      <c r="F34" t="s">
        <v>151</v>
      </c>
    </row>
    <row r="35" spans="1:6" x14ac:dyDescent="0.3">
      <c r="A35" t="s">
        <v>152</v>
      </c>
      <c r="B35" t="s">
        <v>124</v>
      </c>
      <c r="C35" t="s">
        <v>153</v>
      </c>
      <c r="D35" t="s">
        <v>154</v>
      </c>
      <c r="E35" t="e">
        <f>FIND("","abc",5)</f>
        <v>#VALUE!</v>
      </c>
      <c r="F35" t="s">
        <v>155</v>
      </c>
    </row>
    <row r="36" spans="1:6" x14ac:dyDescent="0.3">
      <c r="A36" t="s">
        <v>156</v>
      </c>
      <c r="B36" t="s">
        <v>157</v>
      </c>
      <c r="C36" t="s">
        <v>158</v>
      </c>
      <c r="D36" t="s">
        <v>159</v>
      </c>
      <c r="E36" t="str">
        <f>SUBSTITUTE("a-b-c","-","/")</f>
        <v>a/b/c</v>
      </c>
      <c r="F36" t="s">
        <v>160</v>
      </c>
    </row>
    <row r="37" spans="1:6" x14ac:dyDescent="0.3">
      <c r="A37" t="s">
        <v>161</v>
      </c>
      <c r="B37" t="s">
        <v>157</v>
      </c>
      <c r="C37" t="s">
        <v>162</v>
      </c>
      <c r="D37" t="s">
        <v>163</v>
      </c>
      <c r="E37" t="str">
        <f>SUBSTITUTE("a-b-c","-","/",2)</f>
        <v>a-b/c</v>
      </c>
      <c r="F37" t="s">
        <v>164</v>
      </c>
    </row>
    <row r="38" spans="1:6" x14ac:dyDescent="0.3">
      <c r="A38" t="s">
        <v>165</v>
      </c>
      <c r="B38" t="s">
        <v>157</v>
      </c>
      <c r="C38" t="s">
        <v>166</v>
      </c>
      <c r="D38" t="s">
        <v>167</v>
      </c>
      <c r="E38" t="str">
        <f>SUBSTITUTE("a-b-c","-","/",9)</f>
        <v>a-b-c</v>
      </c>
      <c r="F38" t="s">
        <v>168</v>
      </c>
    </row>
    <row r="39" spans="1:6" x14ac:dyDescent="0.3">
      <c r="A39" t="s">
        <v>169</v>
      </c>
      <c r="B39" t="s">
        <v>157</v>
      </c>
      <c r="C39" t="s">
        <v>170</v>
      </c>
      <c r="D39" t="s">
        <v>171</v>
      </c>
      <c r="E39" t="str">
        <f>SUBSTITUTE("Aa","a","x")</f>
        <v>Ax</v>
      </c>
      <c r="F39" t="s">
        <v>172</v>
      </c>
    </row>
    <row r="40" spans="1:6" x14ac:dyDescent="0.3">
      <c r="A40" t="s">
        <v>173</v>
      </c>
      <c r="B40" t="s">
        <v>157</v>
      </c>
      <c r="C40" t="s">
        <v>174</v>
      </c>
      <c r="D40" t="s">
        <v>175</v>
      </c>
      <c r="E40" t="str">
        <f>REPLACE("2025-01",1,4,"2026")</f>
        <v>2026-01</v>
      </c>
      <c r="F40" t="s">
        <v>176</v>
      </c>
    </row>
    <row r="41" spans="1:6" x14ac:dyDescent="0.3">
      <c r="A41" t="s">
        <v>177</v>
      </c>
      <c r="B41" t="s">
        <v>157</v>
      </c>
      <c r="C41" t="s">
        <v>178</v>
      </c>
      <c r="D41" t="s">
        <v>179</v>
      </c>
      <c r="E41" t="str">
        <f>REPLACE("abc",10,1,"Z")</f>
        <v>abcZ</v>
      </c>
      <c r="F41" t="s">
        <v>180</v>
      </c>
    </row>
    <row r="42" spans="1:6" x14ac:dyDescent="0.3">
      <c r="A42" t="s">
        <v>181</v>
      </c>
      <c r="B42" t="s">
        <v>157</v>
      </c>
      <c r="C42" t="s">
        <v>182</v>
      </c>
      <c r="D42" t="s">
        <v>183</v>
      </c>
      <c r="E42" t="str">
        <f>REPT("ab",3)</f>
        <v>ababab</v>
      </c>
      <c r="F42" t="s">
        <v>184</v>
      </c>
    </row>
    <row r="43" spans="1:6" x14ac:dyDescent="0.3">
      <c r="A43" t="s">
        <v>185</v>
      </c>
      <c r="B43" t="s">
        <v>157</v>
      </c>
      <c r="C43" t="s">
        <v>186</v>
      </c>
      <c r="D43" t="s">
        <v>187</v>
      </c>
      <c r="E43" t="e">
        <f>REPT("ab",-1)</f>
        <v>#VALUE!</v>
      </c>
      <c r="F43" t="s">
        <v>47</v>
      </c>
    </row>
    <row r="44" spans="1:6" x14ac:dyDescent="0.3">
      <c r="A44" t="s">
        <v>188</v>
      </c>
      <c r="B44" t="s">
        <v>189</v>
      </c>
      <c r="C44" t="s">
        <v>190</v>
      </c>
      <c r="D44" t="s">
        <v>191</v>
      </c>
      <c r="E44" t="str">
        <f>CHAR(65)</f>
        <v>A</v>
      </c>
      <c r="F44" t="s">
        <v>192</v>
      </c>
    </row>
    <row r="45" spans="1:6" x14ac:dyDescent="0.3">
      <c r="A45" t="s">
        <v>193</v>
      </c>
      <c r="B45" t="s">
        <v>189</v>
      </c>
      <c r="C45" t="s">
        <v>194</v>
      </c>
      <c r="D45" t="s">
        <v>195</v>
      </c>
      <c r="E45" t="str">
        <f>CHAR(128)</f>
        <v>€</v>
      </c>
      <c r="F45" t="s">
        <v>196</v>
      </c>
    </row>
    <row r="46" spans="1:6" x14ac:dyDescent="0.3">
      <c r="A46" t="s">
        <v>197</v>
      </c>
      <c r="B46" t="s">
        <v>189</v>
      </c>
      <c r="C46" t="s">
        <v>198</v>
      </c>
      <c r="D46" t="s">
        <v>199</v>
      </c>
      <c r="E46" t="e">
        <f>CHAR(256)</f>
        <v>#VALUE!</v>
      </c>
      <c r="F46" t="s">
        <v>47</v>
      </c>
    </row>
    <row r="47" spans="1:6" x14ac:dyDescent="0.3">
      <c r="A47" t="s">
        <v>200</v>
      </c>
      <c r="B47" t="s">
        <v>189</v>
      </c>
      <c r="C47" t="s">
        <v>201</v>
      </c>
      <c r="D47" t="s">
        <v>202</v>
      </c>
      <c r="E47">
        <f>CODE("A")</f>
        <v>65</v>
      </c>
      <c r="F47" t="s">
        <v>203</v>
      </c>
    </row>
    <row r="48" spans="1:6" x14ac:dyDescent="0.3">
      <c r="A48" t="s">
        <v>204</v>
      </c>
      <c r="B48" t="s">
        <v>189</v>
      </c>
      <c r="C48" t="s">
        <v>205</v>
      </c>
      <c r="D48" t="s">
        <v>206</v>
      </c>
      <c r="E48">
        <f>CODE("€")</f>
        <v>128</v>
      </c>
      <c r="F48" t="s">
        <v>207</v>
      </c>
    </row>
    <row r="49" spans="1:6" x14ac:dyDescent="0.3">
      <c r="A49" t="s">
        <v>208</v>
      </c>
      <c r="B49" t="s">
        <v>189</v>
      </c>
      <c r="C49" t="s">
        <v>209</v>
      </c>
      <c r="D49" t="s">
        <v>210</v>
      </c>
      <c r="E49">
        <f>CODE("ñ")</f>
        <v>241</v>
      </c>
      <c r="F49" t="s">
        <v>211</v>
      </c>
    </row>
    <row r="50" spans="1:6" x14ac:dyDescent="0.3">
      <c r="A50" t="s">
        <v>212</v>
      </c>
      <c r="B50" t="s">
        <v>189</v>
      </c>
      <c r="C50" t="s">
        <v>213</v>
      </c>
      <c r="D50" t="s">
        <v>214</v>
      </c>
      <c r="E50" t="e">
        <f>CODE("")</f>
        <v>#VALUE!</v>
      </c>
      <c r="F50" t="s">
        <v>47</v>
      </c>
    </row>
    <row r="51" spans="1:6" x14ac:dyDescent="0.3">
      <c r="A51" t="s">
        <v>215</v>
      </c>
      <c r="B51" t="s">
        <v>189</v>
      </c>
      <c r="C51" t="s">
        <v>216</v>
      </c>
      <c r="D51" t="s">
        <v>217</v>
      </c>
      <c r="E51" t="b">
        <f>EXACT("Obra","obra")</f>
        <v>0</v>
      </c>
      <c r="F51" t="s">
        <v>218</v>
      </c>
    </row>
    <row r="52" spans="1:6" x14ac:dyDescent="0.3">
      <c r="A52" t="s">
        <v>219</v>
      </c>
      <c r="B52" t="s">
        <v>189</v>
      </c>
      <c r="C52" t="s">
        <v>220</v>
      </c>
      <c r="D52" t="s">
        <v>221</v>
      </c>
      <c r="E52" t="b">
        <f>EXACT(1,"1")</f>
        <v>1</v>
      </c>
      <c r="F52" t="s">
        <v>222</v>
      </c>
    </row>
    <row r="53" spans="1:6" x14ac:dyDescent="0.3">
      <c r="A53" t="s">
        <v>223</v>
      </c>
      <c r="B53" t="s">
        <v>68</v>
      </c>
      <c r="C53" t="s">
        <v>224</v>
      </c>
      <c r="D53" t="s">
        <v>225</v>
      </c>
      <c r="E53" t="e">
        <f>VALUE("1234.5")</f>
        <v>#VALUE!</v>
      </c>
      <c r="F53" t="s">
        <v>226</v>
      </c>
    </row>
    <row r="54" spans="1:6" x14ac:dyDescent="0.3">
      <c r="A54" t="s">
        <v>227</v>
      </c>
      <c r="B54" t="s">
        <v>228</v>
      </c>
      <c r="C54" t="s">
        <v>229</v>
      </c>
      <c r="D54" t="s">
        <v>230</v>
      </c>
      <c r="E54">
        <f>VALUE("15%")</f>
        <v>0.15</v>
      </c>
      <c r="F54" t="s">
        <v>231</v>
      </c>
    </row>
    <row r="55" spans="1:6" x14ac:dyDescent="0.3">
      <c r="A55" t="s">
        <v>232</v>
      </c>
      <c r="B55" t="s">
        <v>228</v>
      </c>
      <c r="C55" t="s">
        <v>233</v>
      </c>
      <c r="D55" t="s">
        <v>234</v>
      </c>
      <c r="E55" t="e">
        <f>VALUE("")</f>
        <v>#VALUE!</v>
      </c>
      <c r="F55" t="s">
        <v>155</v>
      </c>
    </row>
    <row r="56" spans="1:6" x14ac:dyDescent="0.3">
      <c r="A56" t="s">
        <v>235</v>
      </c>
      <c r="B56" t="s">
        <v>228</v>
      </c>
      <c r="C56" t="s">
        <v>236</v>
      </c>
      <c r="D56" t="s">
        <v>237</v>
      </c>
      <c r="E56" t="e">
        <f>VALUE("abc")</f>
        <v>#VALUE!</v>
      </c>
      <c r="F56" t="s">
        <v>47</v>
      </c>
    </row>
    <row r="57" spans="1:6" x14ac:dyDescent="0.3">
      <c r="A57" t="s">
        <v>238</v>
      </c>
      <c r="B57" t="s">
        <v>228</v>
      </c>
      <c r="C57" t="s">
        <v>239</v>
      </c>
      <c r="D57" t="s">
        <v>240</v>
      </c>
      <c r="E57" t="e">
        <f>VALUE(TRUE)</f>
        <v>#VALUE!</v>
      </c>
      <c r="F57" t="s">
        <v>155</v>
      </c>
    </row>
    <row r="58" spans="1:6" x14ac:dyDescent="0.3">
      <c r="A58" t="s">
        <v>241</v>
      </c>
      <c r="B58" t="s">
        <v>228</v>
      </c>
      <c r="C58" t="s">
        <v>242</v>
      </c>
      <c r="D58" t="s">
        <v>243</v>
      </c>
      <c r="E58">
        <f>_xlfn.NUMBERVALUE("1.234,5",",",".")</f>
        <v>1234.5</v>
      </c>
      <c r="F58" t="s">
        <v>244</v>
      </c>
    </row>
    <row r="59" spans="1:6" x14ac:dyDescent="0.3">
      <c r="A59" t="s">
        <v>245</v>
      </c>
      <c r="B59" t="s">
        <v>228</v>
      </c>
      <c r="C59" t="s">
        <v>246</v>
      </c>
      <c r="D59" t="s">
        <v>247</v>
      </c>
      <c r="E59">
        <f>_xlfn.NUMBERVALUE("2 500",".",",")</f>
        <v>2500</v>
      </c>
      <c r="F59" t="s">
        <v>248</v>
      </c>
    </row>
    <row r="60" spans="1:6" x14ac:dyDescent="0.3">
      <c r="A60" t="s">
        <v>249</v>
      </c>
      <c r="B60" t="s">
        <v>228</v>
      </c>
      <c r="C60" t="s">
        <v>250</v>
      </c>
      <c r="D60" t="s">
        <v>251</v>
      </c>
      <c r="E60">
        <f>_xlfn.NUMBERVALUE("50%%",".",",")</f>
        <v>5.0000000000000001E-3</v>
      </c>
      <c r="F60" t="s">
        <v>252</v>
      </c>
    </row>
    <row r="61" spans="1:6" x14ac:dyDescent="0.3">
      <c r="A61" t="s">
        <v>253</v>
      </c>
      <c r="B61" t="s">
        <v>228</v>
      </c>
      <c r="C61" t="s">
        <v>254</v>
      </c>
      <c r="D61" t="s">
        <v>255</v>
      </c>
      <c r="E61">
        <f>_xlfn.NUMBERVALUE("",".",",")</f>
        <v>0</v>
      </c>
      <c r="F61" t="s">
        <v>256</v>
      </c>
    </row>
    <row r="62" spans="1:6" x14ac:dyDescent="0.3">
      <c r="A62" t="s">
        <v>257</v>
      </c>
      <c r="B62" t="s">
        <v>228</v>
      </c>
      <c r="C62" t="s">
        <v>258</v>
      </c>
      <c r="D62" t="s">
        <v>259</v>
      </c>
      <c r="E62" t="e">
        <f>_xlfn.NUMBERVALUE("1,5.3",",",".")</f>
        <v>#VALUE!</v>
      </c>
      <c r="F62" t="s">
        <v>47</v>
      </c>
    </row>
    <row r="63" spans="1:6" x14ac:dyDescent="0.3">
      <c r="A63" t="s">
        <v>260</v>
      </c>
      <c r="B63" t="s">
        <v>261</v>
      </c>
      <c r="C63" t="s">
        <v>262</v>
      </c>
      <c r="D63" t="s">
        <v>263</v>
      </c>
      <c r="E63">
        <f>TYPE(5)</f>
        <v>1</v>
      </c>
      <c r="F63" t="s">
        <v>264</v>
      </c>
    </row>
    <row r="64" spans="1:6" x14ac:dyDescent="0.3">
      <c r="A64" t="s">
        <v>265</v>
      </c>
      <c r="B64" t="s">
        <v>261</v>
      </c>
      <c r="C64" t="s">
        <v>266</v>
      </c>
      <c r="D64" t="s">
        <v>267</v>
      </c>
      <c r="E64">
        <f>TYPE("a")</f>
        <v>2</v>
      </c>
      <c r="F64" t="s">
        <v>130</v>
      </c>
    </row>
    <row r="65" spans="1:6" x14ac:dyDescent="0.3">
      <c r="A65" t="s">
        <v>268</v>
      </c>
      <c r="B65" t="s">
        <v>261</v>
      </c>
      <c r="C65" t="s">
        <v>269</v>
      </c>
      <c r="D65" t="s">
        <v>270</v>
      </c>
      <c r="E65">
        <f>TYPE(TRUE)</f>
        <v>4</v>
      </c>
      <c r="F65" t="s">
        <v>16</v>
      </c>
    </row>
    <row r="66" spans="1:6" x14ac:dyDescent="0.3">
      <c r="A66" t="s">
        <v>271</v>
      </c>
      <c r="B66" t="s">
        <v>261</v>
      </c>
      <c r="C66" t="s">
        <v>272</v>
      </c>
      <c r="D66" t="s">
        <v>273</v>
      </c>
      <c r="E66">
        <f>TYPE(1/0)</f>
        <v>16</v>
      </c>
      <c r="F66" t="s">
        <v>274</v>
      </c>
    </row>
    <row r="67" spans="1:6" x14ac:dyDescent="0.3">
      <c r="A67" t="s">
        <v>275</v>
      </c>
      <c r="B67" t="s">
        <v>261</v>
      </c>
      <c r="C67" t="s">
        <v>276</v>
      </c>
      <c r="D67" t="s">
        <v>277</v>
      </c>
      <c r="E67">
        <f>TYPE(Z99)</f>
        <v>1</v>
      </c>
      <c r="F67" t="s">
        <v>147</v>
      </c>
    </row>
    <row r="68" spans="1:6" x14ac:dyDescent="0.3">
      <c r="A68" t="s">
        <v>278</v>
      </c>
      <c r="B68" t="s">
        <v>261</v>
      </c>
      <c r="C68" t="s">
        <v>279</v>
      </c>
      <c r="D68" t="s">
        <v>280</v>
      </c>
      <c r="E68">
        <f>N(TRUE)</f>
        <v>1</v>
      </c>
      <c r="F68" t="s">
        <v>264</v>
      </c>
    </row>
    <row r="69" spans="1:6" x14ac:dyDescent="0.3">
      <c r="A69" t="s">
        <v>281</v>
      </c>
      <c r="B69" t="s">
        <v>261</v>
      </c>
      <c r="C69" t="s">
        <v>282</v>
      </c>
      <c r="D69" t="s">
        <v>283</v>
      </c>
      <c r="E69">
        <f>N("7")</f>
        <v>0</v>
      </c>
      <c r="F69" t="s">
        <v>29</v>
      </c>
    </row>
    <row r="70" spans="1:6" x14ac:dyDescent="0.3">
      <c r="A70" t="s">
        <v>284</v>
      </c>
      <c r="B70" t="s">
        <v>261</v>
      </c>
      <c r="C70" t="s">
        <v>285</v>
      </c>
      <c r="D70" t="s">
        <v>286</v>
      </c>
      <c r="E70" t="str">
        <f>T(5)</f>
        <v/>
      </c>
      <c r="F70" t="s">
        <v>287</v>
      </c>
    </row>
    <row r="71" spans="1:6" x14ac:dyDescent="0.3">
      <c r="A71" t="s">
        <v>288</v>
      </c>
      <c r="B71" t="s">
        <v>261</v>
      </c>
      <c r="C71" t="s">
        <v>289</v>
      </c>
      <c r="D71" t="s">
        <v>290</v>
      </c>
      <c r="E71" t="str">
        <f>T("x")</f>
        <v>x</v>
      </c>
      <c r="F71" t="s">
        <v>291</v>
      </c>
    </row>
    <row r="72" spans="1:6" x14ac:dyDescent="0.3">
      <c r="A72" t="s">
        <v>292</v>
      </c>
      <c r="B72" t="s">
        <v>261</v>
      </c>
      <c r="C72" t="s">
        <v>293</v>
      </c>
      <c r="D72" t="s">
        <v>294</v>
      </c>
      <c r="E72" t="str">
        <f>HYPERLINK("https://example.com","Informe")</f>
        <v>Informe</v>
      </c>
      <c r="F72" t="s">
        <v>295</v>
      </c>
    </row>
    <row r="73" spans="1:6" x14ac:dyDescent="0.3">
      <c r="A73" t="s">
        <v>296</v>
      </c>
      <c r="B73" t="s">
        <v>68</v>
      </c>
      <c r="C73" t="s">
        <v>297</v>
      </c>
      <c r="D73" t="s">
        <v>298</v>
      </c>
      <c r="E73" t="str">
        <f>UPPER(TRUE)</f>
        <v>VERDADERO</v>
      </c>
      <c r="F73" t="s">
        <v>299</v>
      </c>
    </row>
    <row r="74" spans="1:6" x14ac:dyDescent="0.3">
      <c r="A74" t="s">
        <v>300</v>
      </c>
      <c r="B74" t="s">
        <v>301</v>
      </c>
      <c r="C74" t="s">
        <v>302</v>
      </c>
      <c r="D74" t="s">
        <v>303</v>
      </c>
      <c r="E74">
        <f>SUBTOTAL(9,M2:M7)</f>
        <v>375</v>
      </c>
      <c r="F74" t="s">
        <v>304</v>
      </c>
    </row>
    <row r="75" spans="1:6" x14ac:dyDescent="0.3">
      <c r="A75" t="s">
        <v>305</v>
      </c>
      <c r="B75" t="s">
        <v>301</v>
      </c>
      <c r="C75" t="s">
        <v>306</v>
      </c>
      <c r="D75" t="s">
        <v>307</v>
      </c>
      <c r="E75">
        <f>SUM(M2:M7)</f>
        <v>750</v>
      </c>
      <c r="F75" t="s">
        <v>308</v>
      </c>
    </row>
    <row r="76" spans="1:6" x14ac:dyDescent="0.3">
      <c r="A76" t="s">
        <v>309</v>
      </c>
      <c r="B76" t="s">
        <v>301</v>
      </c>
      <c r="C76" t="s">
        <v>310</v>
      </c>
      <c r="D76" t="s">
        <v>311</v>
      </c>
      <c r="E76">
        <f>SUBTOTAL(109,M2:M7)</f>
        <v>375</v>
      </c>
      <c r="F76" t="s">
        <v>312</v>
      </c>
    </row>
    <row r="77" spans="1:6" x14ac:dyDescent="0.3">
      <c r="A77" t="s">
        <v>313</v>
      </c>
      <c r="B77" t="s">
        <v>301</v>
      </c>
      <c r="C77" t="s">
        <v>314</v>
      </c>
      <c r="D77" t="s">
        <v>315</v>
      </c>
      <c r="E77">
        <f>SUBTOTAL(1,M2:M3)</f>
        <v>150</v>
      </c>
      <c r="F77" t="s">
        <v>316</v>
      </c>
    </row>
    <row r="78" spans="1:6" x14ac:dyDescent="0.3">
      <c r="A78" t="s">
        <v>317</v>
      </c>
      <c r="B78" t="s">
        <v>301</v>
      </c>
      <c r="C78" t="s">
        <v>318</v>
      </c>
      <c r="D78" t="s">
        <v>319</v>
      </c>
      <c r="E78" t="e">
        <f>SUBTOTAL(9,O2:O4)</f>
        <v>#DIV/0!</v>
      </c>
      <c r="F78" t="s">
        <v>122</v>
      </c>
    </row>
    <row r="79" spans="1:6" x14ac:dyDescent="0.3">
      <c r="A79" t="s">
        <v>320</v>
      </c>
      <c r="B79" t="s">
        <v>321</v>
      </c>
      <c r="C79" t="s">
        <v>322</v>
      </c>
      <c r="D79" t="s">
        <v>323</v>
      </c>
      <c r="E79">
        <f>_xlfn.AGGREGATE(9,6,O2:O4)</f>
        <v>40</v>
      </c>
      <c r="F79" t="s">
        <v>324</v>
      </c>
    </row>
    <row r="80" spans="1:6" x14ac:dyDescent="0.3">
      <c r="A80" t="s">
        <v>325</v>
      </c>
      <c r="B80" t="s">
        <v>321</v>
      </c>
      <c r="C80" t="s">
        <v>326</v>
      </c>
      <c r="D80" t="s">
        <v>327</v>
      </c>
      <c r="E80">
        <f>_xlfn.AGGREGATE(1,6,O2:O4)</f>
        <v>20</v>
      </c>
      <c r="F80" t="s">
        <v>328</v>
      </c>
    </row>
    <row r="81" spans="1:6" x14ac:dyDescent="0.3">
      <c r="A81" t="s">
        <v>329</v>
      </c>
      <c r="B81" t="s">
        <v>321</v>
      </c>
      <c r="C81" t="s">
        <v>330</v>
      </c>
      <c r="D81" t="s">
        <v>331</v>
      </c>
      <c r="E81" t="e">
        <f>_xlfn.AGGREGATE(9,4,O2:O4)</f>
        <v>#DIV/0!</v>
      </c>
      <c r="F81" t="s">
        <v>122</v>
      </c>
    </row>
    <row r="82" spans="1:6" x14ac:dyDescent="0.3">
      <c r="A82" t="s">
        <v>332</v>
      </c>
      <c r="B82" t="s">
        <v>321</v>
      </c>
      <c r="C82" t="s">
        <v>333</v>
      </c>
      <c r="D82" t="s">
        <v>334</v>
      </c>
      <c r="E82">
        <f>_xlfn.AGGREGATE(9,0,M2:M7)</f>
        <v>375</v>
      </c>
      <c r="F82" t="s">
        <v>312</v>
      </c>
    </row>
    <row r="83" spans="1:6" x14ac:dyDescent="0.3">
      <c r="A83" t="s">
        <v>335</v>
      </c>
      <c r="B83" t="s">
        <v>321</v>
      </c>
      <c r="C83" t="s">
        <v>336</v>
      </c>
      <c r="D83" t="s">
        <v>337</v>
      </c>
      <c r="E83">
        <f>_xlfn.AGGREGATE(9,4,M2:M7)</f>
        <v>750</v>
      </c>
      <c r="F83" t="s">
        <v>338</v>
      </c>
    </row>
    <row r="84" spans="1:6" x14ac:dyDescent="0.3">
      <c r="A84" t="s">
        <v>339</v>
      </c>
      <c r="B84" t="s">
        <v>321</v>
      </c>
      <c r="C84" t="s">
        <v>340</v>
      </c>
      <c r="D84" t="s">
        <v>341</v>
      </c>
      <c r="E84">
        <f>_xlfn.AGGREGATE(14,6,Q2:Q6,1)</f>
        <v>4</v>
      </c>
      <c r="F84" t="s">
        <v>16</v>
      </c>
    </row>
    <row r="85" spans="1:6" x14ac:dyDescent="0.3">
      <c r="A85" t="s">
        <v>342</v>
      </c>
      <c r="B85" t="s">
        <v>321</v>
      </c>
      <c r="C85" t="s">
        <v>343</v>
      </c>
      <c r="D85" t="s">
        <v>344</v>
      </c>
      <c r="E85">
        <f>_xlfn.AGGREGATE(15,6,Q2:Q6,2)</f>
        <v>2</v>
      </c>
      <c r="F85" t="s">
        <v>130</v>
      </c>
    </row>
    <row r="86" spans="1:6" x14ac:dyDescent="0.3">
      <c r="A86" t="s">
        <v>345</v>
      </c>
      <c r="B86" t="s">
        <v>321</v>
      </c>
      <c r="C86" t="s">
        <v>346</v>
      </c>
      <c r="D86" t="s">
        <v>347</v>
      </c>
      <c r="E86">
        <f>_xlfn.AGGREGATE(16,6,Q2:Q6,0.5)</f>
        <v>2.5</v>
      </c>
      <c r="F86" t="s">
        <v>348</v>
      </c>
    </row>
    <row r="87" spans="1:6" x14ac:dyDescent="0.3">
      <c r="A87" t="s">
        <v>349</v>
      </c>
      <c r="B87" t="s">
        <v>321</v>
      </c>
      <c r="C87" t="s">
        <v>350</v>
      </c>
      <c r="D87" t="s">
        <v>351</v>
      </c>
      <c r="E87">
        <f>_xlfn.AGGREGATE(17,6,Q2:Q6,1)</f>
        <v>1.75</v>
      </c>
      <c r="F87" t="s">
        <v>352</v>
      </c>
    </row>
    <row r="88" spans="1:6" x14ac:dyDescent="0.3">
      <c r="A88" t="s">
        <v>353</v>
      </c>
      <c r="B88" t="s">
        <v>321</v>
      </c>
      <c r="C88" t="s">
        <v>354</v>
      </c>
      <c r="D88" t="s">
        <v>355</v>
      </c>
      <c r="E88" t="e">
        <f>_xlfn.AGGREGATE(18,6,Q2:Q4,0.1)</f>
        <v>#NUM!</v>
      </c>
      <c r="F88" t="s">
        <v>356</v>
      </c>
    </row>
    <row r="89" spans="1:6" x14ac:dyDescent="0.3">
      <c r="A89" t="s">
        <v>357</v>
      </c>
      <c r="B89" t="s">
        <v>321</v>
      </c>
      <c r="C89" t="s">
        <v>358</v>
      </c>
      <c r="D89" t="s">
        <v>359</v>
      </c>
      <c r="E89">
        <f>_xlfn.AGGREGATE(13,6,S2:S5)</f>
        <v>3</v>
      </c>
      <c r="F89" t="s">
        <v>360</v>
      </c>
    </row>
    <row r="90" spans="1:6" x14ac:dyDescent="0.3">
      <c r="A90" t="s">
        <v>361</v>
      </c>
      <c r="B90" t="s">
        <v>321</v>
      </c>
      <c r="C90" t="s">
        <v>362</v>
      </c>
      <c r="D90" t="s">
        <v>363</v>
      </c>
      <c r="E90" t="e">
        <f>_xlfn.AGGREGATE(9,8,O2:O4)</f>
        <v>#VALUE!</v>
      </c>
      <c r="F90" t="s">
        <v>155</v>
      </c>
    </row>
    <row r="91" spans="1:6" x14ac:dyDescent="0.3">
      <c r="A91" t="s">
        <v>364</v>
      </c>
      <c r="B91" t="s">
        <v>365</v>
      </c>
      <c r="C91" t="s">
        <v>366</v>
      </c>
      <c r="D91" t="s">
        <v>367</v>
      </c>
      <c r="E91">
        <f>_xlfn.DAYS(DATE(2026,3,1),DATE(2026,2,1))</f>
        <v>28</v>
      </c>
      <c r="F91" t="s">
        <v>368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Fidelidad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Alejandro Jaimes Gonzalez</cp:lastModifiedBy>
  <dcterms:created xsi:type="dcterms:W3CDTF">2026-09-23T12:28:22Z</dcterms:created>
  <dcterms:modified xsi:type="dcterms:W3CDTF">2026-09-23T18:35:00Z</dcterms:modified>
</cp:coreProperties>
</file>