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e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62" customWidth="1" min="3" max="3"/>
    <col width="44" customWidth="1" min="4" max="4"/>
    <col width="18" customWidth="1" min="5" max="5"/>
    <col width="70" customWidth="1" min="6" max="6"/>
  </cols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descripcion</t>
        </is>
      </c>
      <c r="D1" s="1" t="inlineStr">
        <is>
          <t>formula (texto)</t>
        </is>
      </c>
      <c r="E1" s="1" t="inlineStr">
        <is>
          <t>resultado de Excel</t>
        </is>
      </c>
      <c r="F1" s="1" t="inlineStr">
        <is>
          <t>notas</t>
        </is>
      </c>
      <c r="H1" s="1" t="inlineStr">
        <is>
          <t>textos</t>
        </is>
      </c>
      <c r="K1" s="1" t="inlineStr">
        <is>
          <t>unir</t>
        </is>
      </c>
      <c r="M1" s="1" t="inlineStr">
        <is>
          <t>presupuesto</t>
        </is>
      </c>
      <c r="O1" s="1" t="inlineStr">
        <is>
          <t>con error</t>
        </is>
      </c>
      <c r="Q1" s="1" t="inlineStr">
        <is>
          <t>con k</t>
        </is>
      </c>
      <c r="S1" s="1" t="inlineStr">
        <is>
          <t>moda</t>
        </is>
      </c>
    </row>
    <row r="2">
      <c r="A2" t="inlineStr">
        <is>
          <t>T4-001</t>
        </is>
      </c>
      <c r="B2" t="inlineStr">
        <is>
          <t>extraer</t>
        </is>
      </c>
      <c r="C2" t="inlineStr">
        <is>
          <t>LARGO de un texto</t>
        </is>
      </c>
      <c r="D2" t="inlineStr">
        <is>
          <t>LEN("hola")</t>
        </is>
      </c>
      <c r="E2">
        <f>LEN("hola")</f>
        <v/>
      </c>
      <c r="F2" t="inlineStr">
        <is>
          <t>motor: 4</t>
        </is>
      </c>
      <c r="H2" t="inlineStr">
        <is>
          <t>presupuesto de OBRA</t>
        </is>
      </c>
      <c r="I2" t="inlineStr">
        <is>
          <t>a</t>
        </is>
      </c>
      <c r="J2" t="inlineStr">
        <is>
          <t>b</t>
        </is>
      </c>
      <c r="K2" t="inlineStr">
        <is>
          <t>a</t>
        </is>
      </c>
      <c r="M2" t="n">
        <v>100</v>
      </c>
      <c r="O2" t="n">
        <v>10</v>
      </c>
      <c r="Q2" t="n">
        <v>1</v>
      </c>
      <c r="S2" t="n">
        <v>3</v>
      </c>
    </row>
    <row r="3">
      <c r="A3" t="inlineStr">
        <is>
          <t>T4-002</t>
        </is>
      </c>
      <c r="B3" t="inlineStr">
        <is>
          <t>extraer</t>
        </is>
      </c>
      <c r="C3" t="inlineStr">
        <is>
          <t>LARGO de un número: cuenta su formato General</t>
        </is>
      </c>
      <c r="D3" t="inlineStr">
        <is>
          <t>LEN(1234)</t>
        </is>
      </c>
      <c r="E3">
        <f>LEN(1234)</f>
        <v/>
      </c>
      <c r="F3" t="inlineStr">
        <is>
          <t>motor: 4</t>
        </is>
      </c>
      <c r="H3" t="inlineStr">
        <is>
          <t xml:space="preserve">  mucho    espacio  </t>
        </is>
      </c>
      <c r="I3" t="inlineStr">
        <is>
          <t>c</t>
        </is>
      </c>
      <c r="J3" t="inlineStr">
        <is>
          <t>d</t>
        </is>
      </c>
      <c r="M3" t="n">
        <v>200</v>
      </c>
      <c r="O3">
        <f>1/0</f>
        <v/>
      </c>
      <c r="Q3" t="n">
        <v>2</v>
      </c>
      <c r="S3" t="n">
        <v>5</v>
      </c>
    </row>
    <row r="4">
      <c r="A4" t="inlineStr">
        <is>
          <t>T4-003</t>
        </is>
      </c>
      <c r="B4" t="inlineStr">
        <is>
          <t>extraer</t>
        </is>
      </c>
      <c r="C4" t="inlineStr">
        <is>
          <t>LARGO del texto vacío</t>
        </is>
      </c>
      <c r="D4" t="inlineStr">
        <is>
          <t>LEN("")</t>
        </is>
      </c>
      <c r="E4">
        <f>LEN("")</f>
        <v/>
      </c>
      <c r="F4" t="inlineStr">
        <is>
          <t>motor: 0</t>
        </is>
      </c>
      <c r="H4" t="inlineStr">
        <is>
          <t>o'neil</t>
        </is>
      </c>
      <c r="K4" t="inlineStr">
        <is>
          <t>c</t>
        </is>
      </c>
      <c r="M4">
        <f>SUBTOTAL(9,M2:M3)</f>
        <v/>
      </c>
      <c r="O4" t="n">
        <v>30</v>
      </c>
      <c r="Q4" t="n">
        <v>3</v>
      </c>
      <c r="S4" t="n">
        <v>5</v>
      </c>
    </row>
    <row r="5">
      <c r="A5" t="inlineStr">
        <is>
          <t>T4-004</t>
        </is>
      </c>
      <c r="B5" t="inlineStr">
        <is>
          <t>extraer</t>
        </is>
      </c>
      <c r="C5" t="inlineStr">
        <is>
          <t>IZQUIERDA</t>
        </is>
      </c>
      <c r="D5" t="inlineStr">
        <is>
          <t>LEFT("Presupuesto",3)</t>
        </is>
      </c>
      <c r="E5">
        <f>LEFT("Presupuesto",3)</f>
        <v/>
      </c>
      <c r="F5" t="inlineStr">
        <is>
          <t>motor: "Pre"</t>
        </is>
      </c>
      <c r="H5" t="inlineStr">
        <is>
          <t>2nd</t>
        </is>
      </c>
      <c r="K5">
        <f>""</f>
        <v/>
      </c>
      <c r="M5" t="n">
        <v>50</v>
      </c>
      <c r="Q5" t="n">
        <v>4</v>
      </c>
      <c r="S5" t="n">
        <v>3</v>
      </c>
    </row>
    <row r="6">
      <c r="A6" t="inlineStr">
        <is>
          <t>T4-005</t>
        </is>
      </c>
      <c r="B6" t="inlineStr">
        <is>
          <t>extraer</t>
        </is>
      </c>
      <c r="C6" t="inlineStr">
        <is>
          <t>IZQUIERDA sin longitud: un carácter</t>
        </is>
      </c>
      <c r="D6" t="inlineStr">
        <is>
          <t>LEFT("abc")</t>
        </is>
      </c>
      <c r="E6">
        <f>LEFT("abc")</f>
        <v/>
      </c>
      <c r="F6" t="inlineStr">
        <is>
          <t>motor: "a"</t>
        </is>
      </c>
      <c r="M6" t="n">
        <v>25</v>
      </c>
      <c r="Q6">
        <f>1/0</f>
        <v/>
      </c>
    </row>
    <row r="7">
      <c r="A7" t="inlineStr">
        <is>
          <t>T4-006</t>
        </is>
      </c>
      <c r="B7" t="inlineStr">
        <is>
          <t>extraer</t>
        </is>
      </c>
      <c r="C7" t="inlineStr">
        <is>
          <t>IZQUIERDA pidiendo más de lo que hay</t>
        </is>
      </c>
      <c r="D7" t="inlineStr">
        <is>
          <t>LEFT("abc",10)</t>
        </is>
      </c>
      <c r="E7">
        <f>LEFT("abc",10)</f>
        <v/>
      </c>
      <c r="F7" t="inlineStr">
        <is>
          <t>motor: "abc"</t>
        </is>
      </c>
      <c r="M7">
        <f>SUBTOTAL(9,M5:M6)</f>
        <v/>
      </c>
    </row>
    <row r="8">
      <c r="A8" t="inlineStr">
        <is>
          <t>T4-007</t>
        </is>
      </c>
      <c r="B8" t="inlineStr">
        <is>
          <t>extraer</t>
        </is>
      </c>
      <c r="C8" t="inlineStr">
        <is>
          <t>IZQUIERDA con longitud negativa</t>
        </is>
      </c>
      <c r="D8" t="inlineStr">
        <is>
          <t>LEFT("abc",-1)</t>
        </is>
      </c>
      <c r="E8">
        <f>LEFT("abc",-1)</f>
        <v/>
      </c>
      <c r="F8" t="inlineStr">
        <is>
          <t>motor: #¡VALOR!</t>
        </is>
      </c>
    </row>
    <row r="9">
      <c r="A9" t="inlineStr">
        <is>
          <t>T4-008</t>
        </is>
      </c>
      <c r="B9" t="inlineStr">
        <is>
          <t>extraer</t>
        </is>
      </c>
      <c r="C9" t="inlineStr">
        <is>
          <t>DERECHA</t>
        </is>
      </c>
      <c r="D9" t="inlineStr">
        <is>
          <t>RIGHT("Presupuesto",5)</t>
        </is>
      </c>
      <c r="E9">
        <f>RIGHT("Presupuesto",5)</f>
        <v/>
      </c>
      <c r="F9" t="inlineStr">
        <is>
          <t>motor: "uesto"</t>
        </is>
      </c>
    </row>
    <row r="10">
      <c r="A10" t="inlineStr">
        <is>
          <t>T4-009</t>
        </is>
      </c>
      <c r="B10" t="inlineStr">
        <is>
          <t>extraer</t>
        </is>
      </c>
      <c r="C10" t="inlineStr">
        <is>
          <t>EXTRAE</t>
        </is>
      </c>
      <c r="D10" t="inlineStr">
        <is>
          <t>MID("Presupuesto",4,3)</t>
        </is>
      </c>
      <c r="E10">
        <f>MID("Presupuesto",4,3)</f>
        <v/>
      </c>
      <c r="F10" t="inlineStr">
        <is>
          <t>motor: "sup"</t>
        </is>
      </c>
    </row>
    <row r="11">
      <c r="A11" t="inlineStr">
        <is>
          <t>T4-010</t>
        </is>
      </c>
      <c r="B11" t="inlineStr">
        <is>
          <t>extraer</t>
        </is>
      </c>
      <c r="C11" t="inlineStr">
        <is>
          <t>EXTRAE empezando más allá del final</t>
        </is>
      </c>
      <c r="D11" t="inlineStr">
        <is>
          <t>MID("abc",5,2)</t>
        </is>
      </c>
      <c r="E11">
        <f>MID("abc",5,2)</f>
        <v/>
      </c>
      <c r="F11" t="inlineStr">
        <is>
          <t>A VERIFICAR. motor: el texto vacío, no un error</t>
        </is>
      </c>
    </row>
    <row r="12">
      <c r="A12" t="inlineStr">
        <is>
          <t>T4-011</t>
        </is>
      </c>
      <c r="B12" t="inlineStr">
        <is>
          <t>extraer</t>
        </is>
      </c>
      <c r="C12" t="inlineStr">
        <is>
          <t>EXTRAE empezando en 0</t>
        </is>
      </c>
      <c r="D12" t="inlineStr">
        <is>
          <t>MID("abc",0,2)</t>
        </is>
      </c>
      <c r="E12">
        <f>MID("abc",0,2)</f>
        <v/>
      </c>
      <c r="F12" t="inlineStr">
        <is>
          <t>motor: #¡VALOR!</t>
        </is>
      </c>
    </row>
    <row r="13">
      <c r="A13" t="inlineStr">
        <is>
          <t>T4-012</t>
        </is>
      </c>
      <c r="B13" t="inlineStr">
        <is>
          <t>extraer</t>
        </is>
      </c>
      <c r="C13" t="inlineStr">
        <is>
          <t>IZQUIERDA de un número entero</t>
        </is>
      </c>
      <c r="D13" t="inlineStr">
        <is>
          <t>LEFT(1234,2)</t>
        </is>
      </c>
      <c r="E13">
        <f>LEFT(1234,2)</f>
        <v/>
      </c>
      <c r="F13" t="inlineStr">
        <is>
          <t>motor: "12"</t>
        </is>
      </c>
    </row>
    <row r="14">
      <c r="A14" t="inlineStr">
        <is>
          <t>T4-013</t>
        </is>
      </c>
      <c r="B14" t="inlineStr">
        <is>
          <t>regional</t>
        </is>
      </c>
      <c r="C14" t="inlineStr">
        <is>
          <t>IZQUIERDA de un decimal — ¿coma o punto?</t>
        </is>
      </c>
      <c r="D14" t="inlineStr">
        <is>
          <t>LEFT(1.5,3)</t>
        </is>
      </c>
      <c r="E14">
        <f>LEFT(1.5,3)</f>
        <v/>
      </c>
      <c r="F14" t="inlineStr">
        <is>
          <t>A VERIFICAR (configuración regional). motor: "1.5"; un Excel en español debería dar "1,5"</t>
        </is>
      </c>
    </row>
    <row r="15">
      <c r="A15" t="inlineStr">
        <is>
          <t>T4-014</t>
        </is>
      </c>
      <c r="B15" t="inlineStr">
        <is>
          <t>mayusculas</t>
        </is>
      </c>
      <c r="C15" t="inlineStr">
        <is>
          <t>MAYUSC con eñe</t>
        </is>
      </c>
      <c r="D15" t="inlineStr">
        <is>
          <t>UPPER("año")</t>
        </is>
      </c>
      <c r="E15">
        <f>UPPER("año")</f>
        <v/>
      </c>
      <c r="F15" t="inlineStr">
        <is>
          <t>motor: "AÑO"</t>
        </is>
      </c>
    </row>
    <row r="16">
      <c r="A16" t="inlineStr">
        <is>
          <t>T4-015</t>
        </is>
      </c>
      <c r="B16" t="inlineStr">
        <is>
          <t>mayusculas</t>
        </is>
      </c>
      <c r="C16" t="inlineStr">
        <is>
          <t>MINUSC con tilde</t>
        </is>
      </c>
      <c r="D16" t="inlineStr">
        <is>
          <t>LOWER("ÁRBOL")</t>
        </is>
      </c>
      <c r="E16">
        <f>LOWER("ÁRBOL")</f>
        <v/>
      </c>
      <c r="F16" t="inlineStr">
        <is>
          <t>motor: "árbol"</t>
        </is>
      </c>
    </row>
    <row r="17">
      <c r="A17" t="inlineStr">
        <is>
          <t>T4-016</t>
        </is>
      </c>
      <c r="B17" t="inlineStr">
        <is>
          <t>mayusculas</t>
        </is>
      </c>
      <c r="C17" t="inlineStr">
        <is>
          <t>NOMPROPIO de una frase</t>
        </is>
      </c>
      <c r="D17" t="inlineStr">
        <is>
          <t>PROPER(H2)</t>
        </is>
      </c>
      <c r="E17">
        <f>PROPER(H2)</f>
        <v/>
      </c>
      <c r="F17" t="inlineStr">
        <is>
          <t>motor: "Presupuesto De Obra"</t>
        </is>
      </c>
    </row>
    <row r="18">
      <c r="A18" t="inlineStr">
        <is>
          <t>T4-017</t>
        </is>
      </c>
      <c r="B18" t="inlineStr">
        <is>
          <t>mayusculas</t>
        </is>
      </c>
      <c r="C18" t="inlineStr">
        <is>
          <t>NOMPROPIO tras un apóstrofo</t>
        </is>
      </c>
      <c r="D18" t="inlineStr">
        <is>
          <t>PROPER(H4)</t>
        </is>
      </c>
      <c r="E18">
        <f>PROPER(H4)</f>
        <v/>
      </c>
      <c r="F18" t="inlineStr">
        <is>
          <t>motor: "O'Neil"</t>
        </is>
      </c>
    </row>
    <row r="19">
      <c r="A19" t="inlineStr">
        <is>
          <t>T4-018</t>
        </is>
      </c>
      <c r="B19" t="inlineStr">
        <is>
          <t>mayusculas</t>
        </is>
      </c>
      <c r="C19" t="inlineStr">
        <is>
          <t>NOMPROPIO tras un dígito — la rareza conocida</t>
        </is>
      </c>
      <c r="D19" t="inlineStr">
        <is>
          <t>PROPER(H5)</t>
        </is>
      </c>
      <c r="E19">
        <f>PROPER(H5)</f>
        <v/>
      </c>
      <c r="F19" t="inlineStr">
        <is>
          <t>A VERIFICAR. motor: "2Nd"</t>
        </is>
      </c>
    </row>
    <row r="20">
      <c r="A20" t="inlineStr">
        <is>
          <t>T4-019</t>
        </is>
      </c>
      <c r="B20" t="inlineStr">
        <is>
          <t>espacios</t>
        </is>
      </c>
      <c r="C20" t="inlineStr">
        <is>
          <t>ESPACIOS</t>
        </is>
      </c>
      <c r="D20" t="inlineStr">
        <is>
          <t>TRIM(H3)</t>
        </is>
      </c>
      <c r="E20">
        <f>TRIM(H3)</f>
        <v/>
      </c>
      <c r="F20" t="inlineStr">
        <is>
          <t>motor: "mucho espacio"</t>
        </is>
      </c>
    </row>
    <row r="21">
      <c r="A21" t="inlineStr">
        <is>
          <t>T4-020</t>
        </is>
      </c>
      <c r="B21" t="inlineStr">
        <is>
          <t>espacios</t>
        </is>
      </c>
      <c r="C21" t="inlineStr">
        <is>
          <t>ESPACIOS no quita el espacio duro (carácter 160)</t>
        </is>
      </c>
      <c r="D21" t="inlineStr">
        <is>
          <t>LEN(TRIM(CHAR(160)&amp;"x"))</t>
        </is>
      </c>
      <c r="E21">
        <f>LEN(TRIM(CHAR(160)&amp;"x"))</f>
        <v/>
      </c>
      <c r="F21" t="inlineStr">
        <is>
          <t>A VERIFICAR. motor: 2</t>
        </is>
      </c>
    </row>
    <row r="22">
      <c r="A22" t="inlineStr">
        <is>
          <t>T4-021</t>
        </is>
      </c>
      <c r="B22" t="inlineStr">
        <is>
          <t>concatenar</t>
        </is>
      </c>
      <c r="C22" t="inlineStr">
        <is>
          <t>CONCATENAR un texto y un número</t>
        </is>
      </c>
      <c r="D22" t="inlineStr">
        <is>
          <t>CONCATENATE("Año ",2026)</t>
        </is>
      </c>
      <c r="E22">
        <f>CONCATENATE("Año ",2026)</f>
        <v/>
      </c>
      <c r="F22" t="inlineStr">
        <is>
          <t>motor: "Año 2026"</t>
        </is>
      </c>
    </row>
    <row r="23">
      <c r="A23" t="inlineStr">
        <is>
          <t>T4-022</t>
        </is>
      </c>
      <c r="B23" t="inlineStr">
        <is>
          <t>concatenar</t>
        </is>
      </c>
      <c r="C23" t="inlineStr">
        <is>
          <t>CONCAT de un rango 2x2: ¿por filas o por columnas?</t>
        </is>
      </c>
      <c r="D23" t="inlineStr">
        <is>
          <t>_xlfn.CONCAT(I2:J3)</t>
        </is>
      </c>
      <c r="E23">
        <f>_xlfn.CONCAT(I2:J3)</f>
        <v/>
      </c>
      <c r="F23" t="inlineStr">
        <is>
          <t>A VERIFICAR. motor: "abcd" (por filas)</t>
        </is>
      </c>
    </row>
    <row r="24">
      <c r="A24" t="inlineStr">
        <is>
          <t>T4-023</t>
        </is>
      </c>
      <c r="B24" t="inlineStr">
        <is>
          <t>concatenar</t>
        </is>
      </c>
      <c r="C24" t="inlineStr">
        <is>
          <t>UNIRCADENAS ignorando vacías (incluido el texto vacío)</t>
        </is>
      </c>
      <c r="D24" t="inlineStr">
        <is>
          <t>_xlfn.TEXTJOIN(", ",TRUE,K2:K5)</t>
        </is>
      </c>
      <c r="E24">
        <f>_xlfn.TEXTJOIN(", ",TRUE,K2:K5)</f>
        <v/>
      </c>
      <c r="F24" t="inlineStr">
        <is>
          <t>A VERIFICAR. motor: "a, c"</t>
        </is>
      </c>
    </row>
    <row r="25">
      <c r="A25" t="inlineStr">
        <is>
          <t>T4-024</t>
        </is>
      </c>
      <c r="B25" t="inlineStr">
        <is>
          <t>concatenar</t>
        </is>
      </c>
      <c r="C25" t="inlineStr">
        <is>
          <t>UNIRCADENAS sin ignorar vacías</t>
        </is>
      </c>
      <c r="D25" t="inlineStr">
        <is>
          <t>_xlfn.TEXTJOIN(", ",FALSE,K2:K5)</t>
        </is>
      </c>
      <c r="E25">
        <f>_xlfn.TEXTJOIN(", ",FALSE,K2:K5)</f>
        <v/>
      </c>
      <c r="F25" t="inlineStr">
        <is>
          <t>motor: "a, , c, "</t>
        </is>
      </c>
    </row>
    <row r="26">
      <c r="A26" t="inlineStr">
        <is>
          <t>T4-025</t>
        </is>
      </c>
      <c r="B26" t="inlineStr">
        <is>
          <t>concatenar</t>
        </is>
      </c>
      <c r="C26" t="inlineStr">
        <is>
          <t>CONCAT con un error en medio</t>
        </is>
      </c>
      <c r="D26" t="inlineStr">
        <is>
          <t>_xlfn.CONCAT("a",1/0)</t>
        </is>
      </c>
      <c r="E26">
        <f>_xlfn.CONCAT("a",1/0)</f>
        <v/>
      </c>
      <c r="F26" t="inlineStr">
        <is>
          <t>motor: #¡DIV/0!</t>
        </is>
      </c>
    </row>
    <row r="27">
      <c r="A27" t="inlineStr">
        <is>
          <t>T4-026</t>
        </is>
      </c>
      <c r="B27" t="inlineStr">
        <is>
          <t>buscar</t>
        </is>
      </c>
      <c r="C27" t="inlineStr">
        <is>
          <t>ENCONTRAR distingue mayúsculas</t>
        </is>
      </c>
      <c r="D27" t="inlineStr">
        <is>
          <t>FIND("A","banana")</t>
        </is>
      </c>
      <c r="E27">
        <f>FIND("A","banana")</f>
        <v/>
      </c>
      <c r="F27" t="inlineStr">
        <is>
          <t>motor: #¡VALOR!</t>
        </is>
      </c>
    </row>
    <row r="28">
      <c r="A28" t="inlineStr">
        <is>
          <t>T4-027</t>
        </is>
      </c>
      <c r="B28" t="inlineStr">
        <is>
          <t>buscar</t>
        </is>
      </c>
      <c r="C28" t="inlineStr">
        <is>
          <t>HALLAR no las distingue</t>
        </is>
      </c>
      <c r="D28" t="inlineStr">
        <is>
          <t>SEARCH("A","banana")</t>
        </is>
      </c>
      <c r="E28">
        <f>SEARCH("A","banana")</f>
        <v/>
      </c>
      <c r="F28" t="inlineStr">
        <is>
          <t>motor: 2</t>
        </is>
      </c>
    </row>
    <row r="29">
      <c r="A29" t="inlineStr">
        <is>
          <t>T4-028</t>
        </is>
      </c>
      <c r="B29" t="inlineStr">
        <is>
          <t>buscar</t>
        </is>
      </c>
      <c r="C29" t="inlineStr">
        <is>
          <t>ENCONTRAR desde la posición 3: la posición cuenta desde el principio</t>
        </is>
      </c>
      <c r="D29" t="inlineStr">
        <is>
          <t>FIND("a","banana",3)</t>
        </is>
      </c>
      <c r="E29">
        <f>FIND("a","banana",3)</f>
        <v/>
      </c>
      <c r="F29" t="inlineStr">
        <is>
          <t>motor: 4</t>
        </is>
      </c>
    </row>
    <row r="30">
      <c r="A30" t="inlineStr">
        <is>
          <t>T4-029</t>
        </is>
      </c>
      <c r="B30" t="inlineStr">
        <is>
          <t>buscar</t>
        </is>
      </c>
      <c r="C30" t="inlineStr">
        <is>
          <t>HALLAR con ?</t>
        </is>
      </c>
      <c r="D30" t="inlineStr">
        <is>
          <t>SEARCH("n?n","banana")</t>
        </is>
      </c>
      <c r="E30">
        <f>SEARCH("n?n","banana")</f>
        <v/>
      </c>
      <c r="F30" t="inlineStr">
        <is>
          <t>motor: 3</t>
        </is>
      </c>
    </row>
    <row r="31">
      <c r="A31" t="inlineStr">
        <is>
          <t>T4-030</t>
        </is>
      </c>
      <c r="B31" t="inlineStr">
        <is>
          <t>buscar</t>
        </is>
      </c>
      <c r="C31" t="inlineStr">
        <is>
          <t>HALLAR con *</t>
        </is>
      </c>
      <c r="D31" t="inlineStr">
        <is>
          <t>SEARCH("b*n","abanana")</t>
        </is>
      </c>
      <c r="E31">
        <f>SEARCH("b*n","abanana")</f>
        <v/>
      </c>
      <c r="F31" t="inlineStr">
        <is>
          <t>motor: 2</t>
        </is>
      </c>
    </row>
    <row r="32">
      <c r="A32" t="inlineStr">
        <is>
          <t>T4-031</t>
        </is>
      </c>
      <c r="B32" t="inlineStr">
        <is>
          <t>buscar</t>
        </is>
      </c>
      <c r="C32" t="inlineStr">
        <is>
          <t>HALLAR un asterisco literal con ~</t>
        </is>
      </c>
      <c r="D32" t="inlineStr">
        <is>
          <t>SEARCH("~*","a*b")</t>
        </is>
      </c>
      <c r="E32">
        <f>SEARCH("~*","a*b")</f>
        <v/>
      </c>
      <c r="F32" t="inlineStr">
        <is>
          <t>motor: 2</t>
        </is>
      </c>
    </row>
    <row r="33">
      <c r="A33" t="inlineStr">
        <is>
          <t>T4-032</t>
        </is>
      </c>
      <c r="B33" t="inlineStr">
        <is>
          <t>buscar</t>
        </is>
      </c>
      <c r="C33" t="inlineStr">
        <is>
          <t>ENCONTRAR el texto vacío</t>
        </is>
      </c>
      <c r="D33" t="inlineStr">
        <is>
          <t>FIND("","abc")</t>
        </is>
      </c>
      <c r="E33">
        <f>FIND("","abc")</f>
        <v/>
      </c>
      <c r="F33" t="inlineStr">
        <is>
          <t>A VERIFICAR. motor: 1</t>
        </is>
      </c>
    </row>
    <row r="34">
      <c r="A34" t="inlineStr">
        <is>
          <t>T4-033</t>
        </is>
      </c>
      <c r="B34" t="inlineStr">
        <is>
          <t>buscar</t>
        </is>
      </c>
      <c r="C34" t="inlineStr">
        <is>
          <t>ENCONTRAR el texto vacío desde la 3</t>
        </is>
      </c>
      <c r="D34" t="inlineStr">
        <is>
          <t>FIND("","abc",3)</t>
        </is>
      </c>
      <c r="E34">
        <f>FIND("","abc",3)</f>
        <v/>
      </c>
      <c r="F34" t="inlineStr">
        <is>
          <t>A VERIFICAR. motor: 3</t>
        </is>
      </c>
    </row>
    <row r="35">
      <c r="A35" t="inlineStr">
        <is>
          <t>T4-034</t>
        </is>
      </c>
      <c r="B35" t="inlineStr">
        <is>
          <t>buscar</t>
        </is>
      </c>
      <c r="C35" t="inlineStr">
        <is>
          <t>ENCONTRAR desde más allá del final</t>
        </is>
      </c>
      <c r="D35" t="inlineStr">
        <is>
          <t>FIND("","abc",5)</t>
        </is>
      </c>
      <c r="E35">
        <f>FIND("","abc",5)</f>
        <v/>
      </c>
      <c r="F35" t="inlineStr">
        <is>
          <t>A VERIFICAR. motor: #¡VALOR!</t>
        </is>
      </c>
    </row>
    <row r="36">
      <c r="A36" t="inlineStr">
        <is>
          <t>T4-035</t>
        </is>
      </c>
      <c r="B36" t="inlineStr">
        <is>
          <t>sustituir</t>
        </is>
      </c>
      <c r="C36" t="inlineStr">
        <is>
          <t>SUSTITUIR todas</t>
        </is>
      </c>
      <c r="D36" t="inlineStr">
        <is>
          <t>SUBSTITUTE("a-b-c","-","/")</t>
        </is>
      </c>
      <c r="E36">
        <f>SUBSTITUTE("a-b-c","-","/")</f>
        <v/>
      </c>
      <c r="F36" t="inlineStr">
        <is>
          <t>motor: "a/b/c"</t>
        </is>
      </c>
    </row>
    <row r="37">
      <c r="A37" t="inlineStr">
        <is>
          <t>T4-036</t>
        </is>
      </c>
      <c r="B37" t="inlineStr">
        <is>
          <t>sustituir</t>
        </is>
      </c>
      <c r="C37" t="inlineStr">
        <is>
          <t>SUSTITUIR solo la segunda</t>
        </is>
      </c>
      <c r="D37" t="inlineStr">
        <is>
          <t>SUBSTITUTE("a-b-c","-","/",2)</t>
        </is>
      </c>
      <c r="E37">
        <f>SUBSTITUTE("a-b-c","-","/",2)</f>
        <v/>
      </c>
      <c r="F37" t="inlineStr">
        <is>
          <t>motor: "a-b/c"</t>
        </is>
      </c>
    </row>
    <row r="38">
      <c r="A38" t="inlineStr">
        <is>
          <t>T4-037</t>
        </is>
      </c>
      <c r="B38" t="inlineStr">
        <is>
          <t>sustituir</t>
        </is>
      </c>
      <c r="C38" t="inlineStr">
        <is>
          <t>SUSTITUIR una ocurrencia que no existe</t>
        </is>
      </c>
      <c r="D38" t="inlineStr">
        <is>
          <t>SUBSTITUTE("a-b-c","-","/",9)</t>
        </is>
      </c>
      <c r="E38">
        <f>SUBSTITUTE("a-b-c","-","/",9)</f>
        <v/>
      </c>
      <c r="F38" t="inlineStr">
        <is>
          <t>motor: "a-b-c"</t>
        </is>
      </c>
    </row>
    <row r="39">
      <c r="A39" t="inlineStr">
        <is>
          <t>T4-038</t>
        </is>
      </c>
      <c r="B39" t="inlineStr">
        <is>
          <t>sustituir</t>
        </is>
      </c>
      <c r="C39" t="inlineStr">
        <is>
          <t>SUSTITUIR distingue mayúsculas</t>
        </is>
      </c>
      <c r="D39" t="inlineStr">
        <is>
          <t>SUBSTITUTE("Aa","a","x")</t>
        </is>
      </c>
      <c r="E39">
        <f>SUBSTITUTE("Aa","a","x")</f>
        <v/>
      </c>
      <c r="F39" t="inlineStr">
        <is>
          <t>motor: "Ax"</t>
        </is>
      </c>
    </row>
    <row r="40">
      <c r="A40" t="inlineStr">
        <is>
          <t>T4-039</t>
        </is>
      </c>
      <c r="B40" t="inlineStr">
        <is>
          <t>sustituir</t>
        </is>
      </c>
      <c r="C40" t="inlineStr">
        <is>
          <t>REEMPLAZAR por posición</t>
        </is>
      </c>
      <c r="D40" t="inlineStr">
        <is>
          <t>REPLACE("2025-01",1,4,"2026")</t>
        </is>
      </c>
      <c r="E40">
        <f>REPLACE("2025-01",1,4,"2026")</f>
        <v/>
      </c>
      <c r="F40" t="inlineStr">
        <is>
          <t>motor: "2026-01"</t>
        </is>
      </c>
    </row>
    <row r="41">
      <c r="A41" t="inlineStr">
        <is>
          <t>T4-040</t>
        </is>
      </c>
      <c r="B41" t="inlineStr">
        <is>
          <t>sustituir</t>
        </is>
      </c>
      <c r="C41" t="inlineStr">
        <is>
          <t>REEMPLAZAR empezando más allá del final</t>
        </is>
      </c>
      <c r="D41" t="inlineStr">
        <is>
          <t>REPLACE("abc",10,1,"Z")</t>
        </is>
      </c>
      <c r="E41">
        <f>REPLACE("abc",10,1,"Z")</f>
        <v/>
      </c>
      <c r="F41" t="inlineStr">
        <is>
          <t>A VERIFICAR. motor: "abcZ"</t>
        </is>
      </c>
    </row>
    <row r="42">
      <c r="A42" t="inlineStr">
        <is>
          <t>T4-041</t>
        </is>
      </c>
      <c r="B42" t="inlineStr">
        <is>
          <t>sustituir</t>
        </is>
      </c>
      <c r="C42" t="inlineStr">
        <is>
          <t>REPETIR</t>
        </is>
      </c>
      <c r="D42" t="inlineStr">
        <is>
          <t>REPT("ab",3)</t>
        </is>
      </c>
      <c r="E42">
        <f>REPT("ab",3)</f>
        <v/>
      </c>
      <c r="F42" t="inlineStr">
        <is>
          <t>motor: "ababab"</t>
        </is>
      </c>
    </row>
    <row r="43">
      <c r="A43" t="inlineStr">
        <is>
          <t>T4-042</t>
        </is>
      </c>
      <c r="B43" t="inlineStr">
        <is>
          <t>sustituir</t>
        </is>
      </c>
      <c r="C43" t="inlineStr">
        <is>
          <t>REPETIR un número negativo de veces</t>
        </is>
      </c>
      <c r="D43" t="inlineStr">
        <is>
          <t>REPT("ab",-1)</t>
        </is>
      </c>
      <c r="E43">
        <f>REPT("ab",-1)</f>
        <v/>
      </c>
      <c r="F43" t="inlineStr">
        <is>
          <t>motor: #¡VALOR!</t>
        </is>
      </c>
    </row>
    <row r="44">
      <c r="A44" t="inlineStr">
        <is>
          <t>T4-043</t>
        </is>
      </c>
      <c r="B44" t="inlineStr">
        <is>
          <t>caracter</t>
        </is>
      </c>
      <c r="C44" t="inlineStr">
        <is>
          <t>CARACTER(65)</t>
        </is>
      </c>
      <c r="D44" t="inlineStr">
        <is>
          <t>CHAR(65)</t>
        </is>
      </c>
      <c r="E44">
        <f>CHAR(65)</f>
        <v/>
      </c>
      <c r="F44" t="inlineStr">
        <is>
          <t>motor: "A"</t>
        </is>
      </c>
    </row>
    <row r="45">
      <c r="A45" t="inlineStr">
        <is>
          <t>T4-044</t>
        </is>
      </c>
      <c r="B45" t="inlineStr">
        <is>
          <t>caracter</t>
        </is>
      </c>
      <c r="C45" t="inlineStr">
        <is>
          <t>CARACTER(128): página de códigos de Windows</t>
        </is>
      </c>
      <c r="D45" t="inlineStr">
        <is>
          <t>CHAR(128)</t>
        </is>
      </c>
      <c r="E45">
        <f>CHAR(128)</f>
        <v/>
      </c>
      <c r="F45" t="inlineStr">
        <is>
          <t>A VERIFICAR. motor: "€"</t>
        </is>
      </c>
    </row>
    <row r="46">
      <c r="A46" t="inlineStr">
        <is>
          <t>T4-045</t>
        </is>
      </c>
      <c r="B46" t="inlineStr">
        <is>
          <t>caracter</t>
        </is>
      </c>
      <c r="C46" t="inlineStr">
        <is>
          <t>CARACTER fuera de 1-255</t>
        </is>
      </c>
      <c r="D46" t="inlineStr">
        <is>
          <t>CHAR(256)</t>
        </is>
      </c>
      <c r="E46">
        <f>CHAR(256)</f>
        <v/>
      </c>
      <c r="F46" t="inlineStr">
        <is>
          <t>motor: #¡VALOR!</t>
        </is>
      </c>
    </row>
    <row r="47">
      <c r="A47" t="inlineStr">
        <is>
          <t>T4-046</t>
        </is>
      </c>
      <c r="B47" t="inlineStr">
        <is>
          <t>caracter</t>
        </is>
      </c>
      <c r="C47" t="inlineStr">
        <is>
          <t>CODIGO de una letra</t>
        </is>
      </c>
      <c r="D47" t="inlineStr">
        <is>
          <t>CODE("A")</t>
        </is>
      </c>
      <c r="E47">
        <f>CODE("A")</f>
        <v/>
      </c>
      <c r="F47" t="inlineStr">
        <is>
          <t>motor: 65</t>
        </is>
      </c>
    </row>
    <row r="48">
      <c r="A48" t="inlineStr">
        <is>
          <t>T4-047</t>
        </is>
      </c>
      <c r="B48" t="inlineStr">
        <is>
          <t>caracter</t>
        </is>
      </c>
      <c r="C48" t="inlineStr">
        <is>
          <t>CODIGO del euro</t>
        </is>
      </c>
      <c r="D48" t="inlineStr">
        <is>
          <t>CODE("€")</t>
        </is>
      </c>
      <c r="E48">
        <f>CODE("€")</f>
        <v/>
      </c>
      <c r="F48" t="inlineStr">
        <is>
          <t>A VERIFICAR. motor: 128</t>
        </is>
      </c>
    </row>
    <row r="49">
      <c r="A49" t="inlineStr">
        <is>
          <t>T4-048</t>
        </is>
      </c>
      <c r="B49" t="inlineStr">
        <is>
          <t>caracter</t>
        </is>
      </c>
      <c r="C49" t="inlineStr">
        <is>
          <t>CODIGO de la eñe</t>
        </is>
      </c>
      <c r="D49" t="inlineStr">
        <is>
          <t>CODE("ñ")</t>
        </is>
      </c>
      <c r="E49">
        <f>CODE("ñ")</f>
        <v/>
      </c>
      <c r="F49" t="inlineStr">
        <is>
          <t>motor: 241</t>
        </is>
      </c>
    </row>
    <row r="50">
      <c r="A50" t="inlineStr">
        <is>
          <t>T4-049</t>
        </is>
      </c>
      <c r="B50" t="inlineStr">
        <is>
          <t>caracter</t>
        </is>
      </c>
      <c r="C50" t="inlineStr">
        <is>
          <t>CODIGO del texto vacío</t>
        </is>
      </c>
      <c r="D50" t="inlineStr">
        <is>
          <t>CODE("")</t>
        </is>
      </c>
      <c r="E50">
        <f>CODE("")</f>
        <v/>
      </c>
      <c r="F50" t="inlineStr">
        <is>
          <t>motor: #¡VALOR!</t>
        </is>
      </c>
    </row>
    <row r="51">
      <c r="A51" t="inlineStr">
        <is>
          <t>T4-050</t>
        </is>
      </c>
      <c r="B51" t="inlineStr">
        <is>
          <t>caracter</t>
        </is>
      </c>
      <c r="C51" t="inlineStr">
        <is>
          <t>IGUAL distingue mayúsculas</t>
        </is>
      </c>
      <c r="D51" t="inlineStr">
        <is>
          <t>EXACT("Obra","obra")</t>
        </is>
      </c>
      <c r="E51">
        <f>EXACT("Obra","obra")</f>
        <v/>
      </c>
      <c r="F51" t="inlineStr">
        <is>
          <t>motor: FALSO</t>
        </is>
      </c>
    </row>
    <row r="52">
      <c r="A52" t="inlineStr">
        <is>
          <t>T4-051</t>
        </is>
      </c>
      <c r="B52" t="inlineStr">
        <is>
          <t>caracter</t>
        </is>
      </c>
      <c r="C52" t="inlineStr">
        <is>
          <t>IGUAL de un número y su texto</t>
        </is>
      </c>
      <c r="D52" t="inlineStr">
        <is>
          <t>EXACT(1,"1")</t>
        </is>
      </c>
      <c r="E52">
        <f>EXACT(1,"1")</f>
        <v/>
      </c>
      <c r="F52" t="inlineStr">
        <is>
          <t>motor: VERDADERO</t>
        </is>
      </c>
    </row>
    <row r="53">
      <c r="A53" t="inlineStr">
        <is>
          <t>T4-052</t>
        </is>
      </c>
      <c r="B53" t="inlineStr">
        <is>
          <t>regional</t>
        </is>
      </c>
      <c r="C53" t="inlineStr">
        <is>
          <t>VALOR("1234.5") — ¿qué es el punto en un Excel en español?</t>
        </is>
      </c>
      <c r="D53" t="inlineStr">
        <is>
          <t>VALUE("1234.5")</t>
        </is>
      </c>
      <c r="E53">
        <f>VALUE("1234.5")</f>
        <v/>
      </c>
      <c r="F53" t="inlineStr">
        <is>
          <t>A VERIFICAR (configuración regional). motor: 1234,5</t>
        </is>
      </c>
    </row>
    <row r="54">
      <c r="A54" t="inlineStr">
        <is>
          <t>T4-053</t>
        </is>
      </c>
      <c r="B54" t="inlineStr">
        <is>
          <t>convertir</t>
        </is>
      </c>
      <c r="C54" t="inlineStr">
        <is>
          <t>VALOR de un porcentaje</t>
        </is>
      </c>
      <c r="D54" t="inlineStr">
        <is>
          <t>VALUE("15%")</t>
        </is>
      </c>
      <c r="E54">
        <f>VALUE("15%")</f>
        <v/>
      </c>
      <c r="F54" t="inlineStr">
        <is>
          <t>motor: 0,15</t>
        </is>
      </c>
    </row>
    <row r="55">
      <c r="A55" t="inlineStr">
        <is>
          <t>T4-054</t>
        </is>
      </c>
      <c r="B55" t="inlineStr">
        <is>
          <t>convertir</t>
        </is>
      </c>
      <c r="C55" t="inlineStr">
        <is>
          <t>VALOR del texto vacío</t>
        </is>
      </c>
      <c r="D55" t="inlineStr">
        <is>
          <t>VALUE("")</t>
        </is>
      </c>
      <c r="E55">
        <f>VALUE("")</f>
        <v/>
      </c>
      <c r="F55" t="inlineStr">
        <is>
          <t>A VERIFICAR. motor: #¡VALOR!</t>
        </is>
      </c>
    </row>
    <row r="56">
      <c r="A56" t="inlineStr">
        <is>
          <t>T4-055</t>
        </is>
      </c>
      <c r="B56" t="inlineStr">
        <is>
          <t>convertir</t>
        </is>
      </c>
      <c r="C56" t="inlineStr">
        <is>
          <t>VALOR de un texto que no es número</t>
        </is>
      </c>
      <c r="D56" t="inlineStr">
        <is>
          <t>VALUE("abc")</t>
        </is>
      </c>
      <c r="E56">
        <f>VALUE("abc")</f>
        <v/>
      </c>
      <c r="F56" t="inlineStr">
        <is>
          <t>motor: #¡VALOR!</t>
        </is>
      </c>
    </row>
    <row r="57">
      <c r="A57" t="inlineStr">
        <is>
          <t>T4-056</t>
        </is>
      </c>
      <c r="B57" t="inlineStr">
        <is>
          <t>convertir</t>
        </is>
      </c>
      <c r="C57" t="inlineStr">
        <is>
          <t>VALOR de un lógico</t>
        </is>
      </c>
      <c r="D57" t="inlineStr">
        <is>
          <t>VALUE(TRUE)</t>
        </is>
      </c>
      <c r="E57">
        <f>VALUE(TRUE)</f>
        <v/>
      </c>
      <c r="F57" t="inlineStr">
        <is>
          <t>A VERIFICAR. motor: #¡VALOR!</t>
        </is>
      </c>
    </row>
    <row r="58">
      <c r="A58" t="inlineStr">
        <is>
          <t>T4-057</t>
        </is>
      </c>
      <c r="B58" t="inlineStr">
        <is>
          <t>convertir</t>
        </is>
      </c>
      <c r="C58" t="inlineStr">
        <is>
          <t>VALOR.NUMERO con coma decimal y punto de miles</t>
        </is>
      </c>
      <c r="D58" t="inlineStr">
        <is>
          <t>_xlfn.NUMBERVALUE("1.234,5",",",".")</t>
        </is>
      </c>
      <c r="E58">
        <f>_xlfn.NUMBERVALUE("1.234,5",",",".")</f>
        <v/>
      </c>
      <c r="F58" t="inlineStr">
        <is>
          <t>motor: 1234,5</t>
        </is>
      </c>
    </row>
    <row r="59">
      <c r="A59" t="inlineStr">
        <is>
          <t>T4-058</t>
        </is>
      </c>
      <c r="B59" t="inlineStr">
        <is>
          <t>convertir</t>
        </is>
      </c>
      <c r="C59" t="inlineStr">
        <is>
          <t>VALOR.NUMERO ignora los espacios</t>
        </is>
      </c>
      <c r="D59" t="inlineStr">
        <is>
          <t>_xlfn.NUMBERVALUE("2 500",".",",")</t>
        </is>
      </c>
      <c r="E59">
        <f>_xlfn.NUMBERVALUE("2 500",".",",")</f>
        <v/>
      </c>
      <c r="F59" t="inlineStr">
        <is>
          <t>motor: 2500</t>
        </is>
      </c>
    </row>
    <row r="60">
      <c r="A60" t="inlineStr">
        <is>
          <t>T4-059</t>
        </is>
      </c>
      <c r="B60" t="inlineStr">
        <is>
          <t>convertir</t>
        </is>
      </c>
      <c r="C60" t="inlineStr">
        <is>
          <t>VALOR.NUMERO con dos %</t>
        </is>
      </c>
      <c r="D60" t="inlineStr">
        <is>
          <t>_xlfn.NUMBERVALUE("50%%",".",",")</t>
        </is>
      </c>
      <c r="E60">
        <f>_xlfn.NUMBERVALUE("50%%",".",",")</f>
        <v/>
      </c>
      <c r="F60" t="inlineStr">
        <is>
          <t>A VERIFICAR. motor: 0,005</t>
        </is>
      </c>
    </row>
    <row r="61">
      <c r="A61" t="inlineStr">
        <is>
          <t>T4-060</t>
        </is>
      </c>
      <c r="B61" t="inlineStr">
        <is>
          <t>convertir</t>
        </is>
      </c>
      <c r="C61" t="inlineStr">
        <is>
          <t>VALOR.NUMERO del texto vacío</t>
        </is>
      </c>
      <c r="D61" t="inlineStr">
        <is>
          <t>_xlfn.NUMBERVALUE("",".",",")</t>
        </is>
      </c>
      <c r="E61">
        <f>_xlfn.NUMBERVALUE("",".",",")</f>
        <v/>
      </c>
      <c r="F61" t="inlineStr">
        <is>
          <t>A VERIFICAR. motor: 0</t>
        </is>
      </c>
    </row>
    <row r="62">
      <c r="A62" t="inlineStr">
        <is>
          <t>T4-061</t>
        </is>
      </c>
      <c r="B62" t="inlineStr">
        <is>
          <t>convertir</t>
        </is>
      </c>
      <c r="C62" t="inlineStr">
        <is>
          <t>VALOR.NUMERO con miles después del decimal</t>
        </is>
      </c>
      <c r="D62" t="inlineStr">
        <is>
          <t>_xlfn.NUMBERVALUE("1,5.3",",",".")</t>
        </is>
      </c>
      <c r="E62">
        <f>_xlfn.NUMBERVALUE("1,5.3",",",".")</f>
        <v/>
      </c>
      <c r="F62" t="inlineStr">
        <is>
          <t>motor: #¡VALOR!</t>
        </is>
      </c>
    </row>
    <row r="63">
      <c r="A63" t="inlineStr">
        <is>
          <t>T4-062</t>
        </is>
      </c>
      <c r="B63" t="inlineStr">
        <is>
          <t>tipo</t>
        </is>
      </c>
      <c r="C63" t="inlineStr">
        <is>
          <t>TIPO de un número</t>
        </is>
      </c>
      <c r="D63" t="inlineStr">
        <is>
          <t>TYPE(5)</t>
        </is>
      </c>
      <c r="E63">
        <f>TYPE(5)</f>
        <v/>
      </c>
      <c r="F63" t="inlineStr">
        <is>
          <t>motor: 1</t>
        </is>
      </c>
    </row>
    <row r="64">
      <c r="A64" t="inlineStr">
        <is>
          <t>T4-063</t>
        </is>
      </c>
      <c r="B64" t="inlineStr">
        <is>
          <t>tipo</t>
        </is>
      </c>
      <c r="C64" t="inlineStr">
        <is>
          <t>TIPO de un texto</t>
        </is>
      </c>
      <c r="D64" t="inlineStr">
        <is>
          <t>TYPE("a")</t>
        </is>
      </c>
      <c r="E64">
        <f>TYPE("a")</f>
        <v/>
      </c>
      <c r="F64" t="inlineStr">
        <is>
          <t>motor: 2</t>
        </is>
      </c>
    </row>
    <row r="65">
      <c r="A65" t="inlineStr">
        <is>
          <t>T4-064</t>
        </is>
      </c>
      <c r="B65" t="inlineStr">
        <is>
          <t>tipo</t>
        </is>
      </c>
      <c r="C65" t="inlineStr">
        <is>
          <t>TIPO de un lógico</t>
        </is>
      </c>
      <c r="D65" t="inlineStr">
        <is>
          <t>TYPE(TRUE)</t>
        </is>
      </c>
      <c r="E65">
        <f>TYPE(TRUE)</f>
        <v/>
      </c>
      <c r="F65" t="inlineStr">
        <is>
          <t>motor: 4</t>
        </is>
      </c>
    </row>
    <row r="66">
      <c r="A66" t="inlineStr">
        <is>
          <t>T4-065</t>
        </is>
      </c>
      <c r="B66" t="inlineStr">
        <is>
          <t>tipo</t>
        </is>
      </c>
      <c r="C66" t="inlineStr">
        <is>
          <t>TIPO de un error: no lo propaga, lo clasifica</t>
        </is>
      </c>
      <c r="D66" t="inlineStr">
        <is>
          <t>TYPE(1/0)</t>
        </is>
      </c>
      <c r="E66">
        <f>TYPE(1/0)</f>
        <v/>
      </c>
      <c r="F66" t="inlineStr">
        <is>
          <t>motor: 16</t>
        </is>
      </c>
    </row>
    <row r="67">
      <c r="A67" t="inlineStr">
        <is>
          <t>T4-066</t>
        </is>
      </c>
      <c r="B67" t="inlineStr">
        <is>
          <t>tipo</t>
        </is>
      </c>
      <c r="C67" t="inlineStr">
        <is>
          <t>TIPO de una celda vacía</t>
        </is>
      </c>
      <c r="D67" t="inlineStr">
        <is>
          <t>TYPE(Z99)</t>
        </is>
      </c>
      <c r="E67">
        <f>TYPE(Z99)</f>
        <v/>
      </c>
      <c r="F67" t="inlineStr">
        <is>
          <t>A VERIFICAR. motor: 1</t>
        </is>
      </c>
    </row>
    <row r="68">
      <c r="A68" t="inlineStr">
        <is>
          <t>T4-067</t>
        </is>
      </c>
      <c r="B68" t="inlineStr">
        <is>
          <t>tipo</t>
        </is>
      </c>
      <c r="C68" t="inlineStr">
        <is>
          <t>N de un lógico</t>
        </is>
      </c>
      <c r="D68" t="inlineStr">
        <is>
          <t>N(TRUE)</t>
        </is>
      </c>
      <c r="E68">
        <f>N(TRUE)</f>
        <v/>
      </c>
      <c r="F68" t="inlineStr">
        <is>
          <t>motor: 1</t>
        </is>
      </c>
    </row>
    <row r="69">
      <c r="A69" t="inlineStr">
        <is>
          <t>T4-068</t>
        </is>
      </c>
      <c r="B69" t="inlineStr">
        <is>
          <t>tipo</t>
        </is>
      </c>
      <c r="C69" t="inlineStr">
        <is>
          <t>N de un texto numérico</t>
        </is>
      </c>
      <c r="D69" t="inlineStr">
        <is>
          <t>N("7")</t>
        </is>
      </c>
      <c r="E69">
        <f>N("7")</f>
        <v/>
      </c>
      <c r="F69" t="inlineStr">
        <is>
          <t>motor: 0</t>
        </is>
      </c>
    </row>
    <row r="70">
      <c r="A70" t="inlineStr">
        <is>
          <t>T4-069</t>
        </is>
      </c>
      <c r="B70" t="inlineStr">
        <is>
          <t>tipo</t>
        </is>
      </c>
      <c r="C70" t="inlineStr">
        <is>
          <t>T de un número</t>
        </is>
      </c>
      <c r="D70" t="inlineStr">
        <is>
          <t>T(5)</t>
        </is>
      </c>
      <c r="E70">
        <f>T(5)</f>
        <v/>
      </c>
      <c r="F70" t="inlineStr">
        <is>
          <t>motor: el texto vacío</t>
        </is>
      </c>
    </row>
    <row r="71">
      <c r="A71" t="inlineStr">
        <is>
          <t>T4-070</t>
        </is>
      </c>
      <c r="B71" t="inlineStr">
        <is>
          <t>tipo</t>
        </is>
      </c>
      <c r="C71" t="inlineStr">
        <is>
          <t>T de un texto</t>
        </is>
      </c>
      <c r="D71" t="inlineStr">
        <is>
          <t>T("x")</t>
        </is>
      </c>
      <c r="E71">
        <f>T("x")</f>
        <v/>
      </c>
      <c r="F71" t="inlineStr">
        <is>
          <t>motor: "x"</t>
        </is>
      </c>
    </row>
    <row r="72">
      <c r="A72" t="inlineStr">
        <is>
          <t>T4-071</t>
        </is>
      </c>
      <c r="B72" t="inlineStr">
        <is>
          <t>tipo</t>
        </is>
      </c>
      <c r="C72" t="inlineStr">
        <is>
          <t>HIPERVINCULO vale el nombre que enseña</t>
        </is>
      </c>
      <c r="D72" t="inlineStr">
        <is>
          <t>HYPERLINK("https://example.com","Informe")</t>
        </is>
      </c>
      <c r="E72">
        <f>HYPERLINK("https://example.com","Informe")</f>
        <v/>
      </c>
      <c r="F72" t="inlineStr">
        <is>
          <t>motor: "Informe"</t>
        </is>
      </c>
    </row>
    <row r="73">
      <c r="A73" t="inlineStr">
        <is>
          <t>T4-072</t>
        </is>
      </c>
      <c r="B73" t="inlineStr">
        <is>
          <t>regional</t>
        </is>
      </c>
      <c r="C73" t="inlineStr">
        <is>
          <t>MAYUSC de un lógico — ¿TRUE o VERDADERO?</t>
        </is>
      </c>
      <c r="D73" t="inlineStr">
        <is>
          <t>UPPER(TRUE)</t>
        </is>
      </c>
      <c r="E73">
        <f>UPPER(TRUE)</f>
        <v/>
      </c>
      <c r="F73" t="inlineStr">
        <is>
          <t>A VERIFICAR (configuración regional). motor: "TRUE"; un Excel en español debería dar "VERDADERO"</t>
        </is>
      </c>
    </row>
    <row r="74">
      <c r="A74" t="inlineStr">
        <is>
          <t>T4-073</t>
        </is>
      </c>
      <c r="B74" t="inlineStr">
        <is>
          <t>subtotal</t>
        </is>
      </c>
      <c r="C74" t="inlineStr">
        <is>
          <t>SUBTOTALES del total general ignora los subtotales intermedios</t>
        </is>
      </c>
      <c r="D74" t="inlineStr">
        <is>
          <t>SUBTOTAL(9,M2:M7)</t>
        </is>
      </c>
      <c r="E74">
        <f>SUBTOTAL(9,M2:M7)</f>
        <v/>
      </c>
      <c r="F74" t="inlineStr">
        <is>
          <t>motor: 375 (y no 750)</t>
        </is>
      </c>
    </row>
    <row r="75">
      <c r="A75" t="inlineStr">
        <is>
          <t>T4-074</t>
        </is>
      </c>
      <c r="B75" t="inlineStr">
        <is>
          <t>subtotal</t>
        </is>
      </c>
      <c r="C75" t="inlineStr">
        <is>
          <t>SUMA sobre el mismo rango sí cuenta dos veces</t>
        </is>
      </c>
      <c r="D75" t="inlineStr">
        <is>
          <t>SUM(M2:M7)</t>
        </is>
      </c>
      <c r="E75">
        <f>SUM(M2:M7)</f>
        <v/>
      </c>
      <c r="F75" t="inlineStr">
        <is>
          <t>motor: 750</t>
        </is>
      </c>
    </row>
    <row r="76">
      <c r="A76" t="inlineStr">
        <is>
          <t>T4-075</t>
        </is>
      </c>
      <c r="B76" t="inlineStr">
        <is>
          <t>subtotal</t>
        </is>
      </c>
      <c r="C76" t="inlineStr">
        <is>
          <t>SUBTOTALES(109) sin filas ocultas es igual que 9</t>
        </is>
      </c>
      <c r="D76" t="inlineStr">
        <is>
          <t>SUBTOTAL(109,M2:M7)</t>
        </is>
      </c>
      <c r="E76">
        <f>SUBTOTAL(109,M2:M7)</f>
        <v/>
      </c>
      <c r="F76" t="inlineStr">
        <is>
          <t>motor: 375</t>
        </is>
      </c>
    </row>
    <row r="77">
      <c r="A77" t="inlineStr">
        <is>
          <t>T4-076</t>
        </is>
      </c>
      <c r="B77" t="inlineStr">
        <is>
          <t>subtotal</t>
        </is>
      </c>
      <c r="C77" t="inlineStr">
        <is>
          <t>SUBTOTALES(1): el promedio</t>
        </is>
      </c>
      <c r="D77" t="inlineStr">
        <is>
          <t>SUBTOTAL(1,M2:M3)</t>
        </is>
      </c>
      <c r="E77">
        <f>SUBTOTAL(1,M2:M3)</f>
        <v/>
      </c>
      <c r="F77" t="inlineStr">
        <is>
          <t>motor: 150</t>
        </is>
      </c>
    </row>
    <row r="78">
      <c r="A78" t="inlineStr">
        <is>
          <t>T4-077</t>
        </is>
      </c>
      <c r="B78" t="inlineStr">
        <is>
          <t>subtotal</t>
        </is>
      </c>
      <c r="C78" t="inlineStr">
        <is>
          <t>SUBTOTALES propaga un error del rango</t>
        </is>
      </c>
      <c r="D78" t="inlineStr">
        <is>
          <t>SUBTOTAL(9,O2:O4)</t>
        </is>
      </c>
      <c r="E78">
        <f>SUBTOTAL(9,O2:O4)</f>
        <v/>
      </c>
      <c r="F78" t="inlineStr">
        <is>
          <t>motor: #¡DIV/0!</t>
        </is>
      </c>
    </row>
    <row r="79">
      <c r="A79" t="inlineStr">
        <is>
          <t>T4-078</t>
        </is>
      </c>
      <c r="B79" t="inlineStr">
        <is>
          <t>agregar</t>
        </is>
      </c>
      <c r="C79" t="inlineStr">
        <is>
          <t>AGREGAR suma ignorando errores (opción 6)</t>
        </is>
      </c>
      <c r="D79" t="inlineStr">
        <is>
          <t>_xlfn.AGGREGATE(9,6,O2:O4)</t>
        </is>
      </c>
      <c r="E79">
        <f>_xlfn.AGGREGATE(9,6,O2:O4)</f>
        <v/>
      </c>
      <c r="F79" t="inlineStr">
        <is>
          <t>motor: 40</t>
        </is>
      </c>
    </row>
    <row r="80">
      <c r="A80" t="inlineStr">
        <is>
          <t>T4-079</t>
        </is>
      </c>
      <c r="B80" t="inlineStr">
        <is>
          <t>agregar</t>
        </is>
      </c>
      <c r="C80" t="inlineStr">
        <is>
          <t>AGREGAR promedia ignorando errores</t>
        </is>
      </c>
      <c r="D80" t="inlineStr">
        <is>
          <t>_xlfn.AGGREGATE(1,6,O2:O4)</t>
        </is>
      </c>
      <c r="E80">
        <f>_xlfn.AGGREGATE(1,6,O2:O4)</f>
        <v/>
      </c>
      <c r="F80" t="inlineStr">
        <is>
          <t>motor: 20</t>
        </is>
      </c>
    </row>
    <row r="81">
      <c r="A81" t="inlineStr">
        <is>
          <t>T4-080</t>
        </is>
      </c>
      <c r="B81" t="inlineStr">
        <is>
          <t>agregar</t>
        </is>
      </c>
      <c r="C81" t="inlineStr">
        <is>
          <t>AGREGAR con la opción 4 no ignora nada</t>
        </is>
      </c>
      <c r="D81" t="inlineStr">
        <is>
          <t>_xlfn.AGGREGATE(9,4,O2:O4)</t>
        </is>
      </c>
      <c r="E81">
        <f>_xlfn.AGGREGATE(9,4,O2:O4)</f>
        <v/>
      </c>
      <c r="F81" t="inlineStr">
        <is>
          <t>motor: #¡DIV/0!</t>
        </is>
      </c>
    </row>
    <row r="82">
      <c r="A82" t="inlineStr">
        <is>
          <t>T4-081</t>
        </is>
      </c>
      <c r="B82" t="inlineStr">
        <is>
          <t>agregar</t>
        </is>
      </c>
      <c r="C82" t="inlineStr">
        <is>
          <t>AGREGAR con la opción 0 ignora los subtotales</t>
        </is>
      </c>
      <c r="D82" t="inlineStr">
        <is>
          <t>_xlfn.AGGREGATE(9,0,M2:M7)</t>
        </is>
      </c>
      <c r="E82">
        <f>_xlfn.AGGREGATE(9,0,M2:M7)</f>
        <v/>
      </c>
      <c r="F82" t="inlineStr">
        <is>
          <t>motor: 375</t>
        </is>
      </c>
    </row>
    <row r="83">
      <c r="A83" t="inlineStr">
        <is>
          <t>T4-082</t>
        </is>
      </c>
      <c r="B83" t="inlineStr">
        <is>
          <t>agregar</t>
        </is>
      </c>
      <c r="C83" t="inlineStr">
        <is>
          <t>AGREGAR con la opción 4 los cuenta</t>
        </is>
      </c>
      <c r="D83" t="inlineStr">
        <is>
          <t>_xlfn.AGGREGATE(9,4,M2:M7)</t>
        </is>
      </c>
      <c r="E83">
        <f>_xlfn.AGGREGATE(9,4,M2:M7)</f>
        <v/>
      </c>
      <c r="F83" t="inlineStr">
        <is>
          <t>A VERIFICAR. motor: 750</t>
        </is>
      </c>
    </row>
    <row r="84">
      <c r="A84" t="inlineStr">
        <is>
          <t>T4-083</t>
        </is>
      </c>
      <c r="B84" t="inlineStr">
        <is>
          <t>agregar</t>
        </is>
      </c>
      <c r="C84" t="inlineStr">
        <is>
          <t>AGREGAR 14: el mayor</t>
        </is>
      </c>
      <c r="D84" t="inlineStr">
        <is>
          <t>_xlfn.AGGREGATE(14,6,Q2:Q6,1)</t>
        </is>
      </c>
      <c r="E84">
        <f>_xlfn.AGGREGATE(14,6,Q2:Q6,1)</f>
        <v/>
      </c>
      <c r="F84" t="inlineStr">
        <is>
          <t>motor: 4</t>
        </is>
      </c>
    </row>
    <row r="85">
      <c r="A85" t="inlineStr">
        <is>
          <t>T4-084</t>
        </is>
      </c>
      <c r="B85" t="inlineStr">
        <is>
          <t>agregar</t>
        </is>
      </c>
      <c r="C85" t="inlineStr">
        <is>
          <t>AGREGAR 15: el segundo menor</t>
        </is>
      </c>
      <c r="D85" t="inlineStr">
        <is>
          <t>_xlfn.AGGREGATE(15,6,Q2:Q6,2)</t>
        </is>
      </c>
      <c r="E85">
        <f>_xlfn.AGGREGATE(15,6,Q2:Q6,2)</f>
        <v/>
      </c>
      <c r="F85" t="inlineStr">
        <is>
          <t>motor: 2</t>
        </is>
      </c>
    </row>
    <row r="86">
      <c r="A86" t="inlineStr">
        <is>
          <t>T4-085</t>
        </is>
      </c>
      <c r="B86" t="inlineStr">
        <is>
          <t>agregar</t>
        </is>
      </c>
      <c r="C86" t="inlineStr">
        <is>
          <t>AGREGAR 16: percentil inclusivo</t>
        </is>
      </c>
      <c r="D86" t="inlineStr">
        <is>
          <t>_xlfn.AGGREGATE(16,6,Q2:Q6,0.5)</t>
        </is>
      </c>
      <c r="E86">
        <f>_xlfn.AGGREGATE(16,6,Q2:Q6,0.5)</f>
        <v/>
      </c>
      <c r="F86" t="inlineStr">
        <is>
          <t>motor: 2,5</t>
        </is>
      </c>
    </row>
    <row r="87">
      <c r="A87" t="inlineStr">
        <is>
          <t>T4-086</t>
        </is>
      </c>
      <c r="B87" t="inlineStr">
        <is>
          <t>agregar</t>
        </is>
      </c>
      <c r="C87" t="inlineStr">
        <is>
          <t>AGREGAR 17: primer cuartil</t>
        </is>
      </c>
      <c r="D87" t="inlineStr">
        <is>
          <t>_xlfn.AGGREGATE(17,6,Q2:Q6,1)</t>
        </is>
      </c>
      <c r="E87">
        <f>_xlfn.AGGREGATE(17,6,Q2:Q6,1)</f>
        <v/>
      </c>
      <c r="F87" t="inlineStr">
        <is>
          <t>motor: 1,75</t>
        </is>
      </c>
    </row>
    <row r="88">
      <c r="A88" t="inlineStr">
        <is>
          <t>T4-087</t>
        </is>
      </c>
      <c r="B88" t="inlineStr">
        <is>
          <t>agregar</t>
        </is>
      </c>
      <c r="C88" t="inlineStr">
        <is>
          <t>AGREGAR 18: percentil exclusivo fuera de alcance</t>
        </is>
      </c>
      <c r="D88" t="inlineStr">
        <is>
          <t>_xlfn.AGGREGATE(18,6,Q2:Q4,0.1)</t>
        </is>
      </c>
      <c r="E88">
        <f>_xlfn.AGGREGATE(18,6,Q2:Q4,0.1)</f>
        <v/>
      </c>
      <c r="F88" t="inlineStr">
        <is>
          <t>A VERIFICAR. motor: #¡NUM!</t>
        </is>
      </c>
    </row>
    <row r="89">
      <c r="A89" t="inlineStr">
        <is>
          <t>T4-088</t>
        </is>
      </c>
      <c r="B89" t="inlineStr">
        <is>
          <t>agregar</t>
        </is>
      </c>
      <c r="C89" t="inlineStr">
        <is>
          <t>AGREGAR 13: la moda, con dos empatadas</t>
        </is>
      </c>
      <c r="D89" t="inlineStr">
        <is>
          <t>_xlfn.AGGREGATE(13,6,S2:S5)</t>
        </is>
      </c>
      <c r="E89">
        <f>_xlfn.AGGREGATE(13,6,S2:S5)</f>
        <v/>
      </c>
      <c r="F89" t="inlineStr">
        <is>
          <t>A VERIFICAR. motor: 3 (la que aparece antes)</t>
        </is>
      </c>
    </row>
    <row r="90">
      <c r="A90" t="inlineStr">
        <is>
          <t>T4-089</t>
        </is>
      </c>
      <c r="B90" t="inlineStr">
        <is>
          <t>agregar</t>
        </is>
      </c>
      <c r="C90" t="inlineStr">
        <is>
          <t>AGREGAR con una opción inválida</t>
        </is>
      </c>
      <c r="D90" t="inlineStr">
        <is>
          <t>_xlfn.AGGREGATE(9,8,O2:O4)</t>
        </is>
      </c>
      <c r="E90">
        <f>_xlfn.AGGREGATE(9,8,O2:O4)</f>
        <v/>
      </c>
      <c r="F90" t="inlineStr">
        <is>
          <t>A VERIFICAR. motor: #¡VALOR!</t>
        </is>
      </c>
    </row>
    <row r="91">
      <c r="A91" t="inlineStr">
        <is>
          <t>T4-090</t>
        </is>
      </c>
      <c r="B91" t="inlineStr">
        <is>
          <t>fecha</t>
        </is>
      </c>
      <c r="C91" t="inlineStr">
        <is>
          <t>DIAS, ahora con su prefijo _xlfn</t>
        </is>
      </c>
      <c r="D91" t="inlineStr">
        <is>
          <t>_xlfn.DAYS(DATE(2026,3,1),DATE(2026,2,1))</t>
        </is>
      </c>
      <c r="E91">
        <f>_xlfn.DAYS(DATE(2026,3,1),DATE(2026,2,1))</f>
        <v/>
      </c>
      <c r="F91" t="inlineStr">
        <is>
          <t>motor: 28. En la tercera tanda dio #¿NOMBRE? por faltar el prefijo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2026-09-23T12:28:22Z</dcterms:created>
  <dcterms:modified xsi:type="dcterms:W3CDTF">2026-09-23T12:28:22Z</dcterms:modified>
</cp:coreProperties>
</file>